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itm\Downloads\"/>
    </mc:Choice>
  </mc:AlternateContent>
  <xr:revisionPtr revIDLastSave="0" documentId="13_ncr:1_{A6F96ED8-DC1B-441F-B12A-2D851E092524}" xr6:coauthVersionLast="47" xr6:coauthVersionMax="47" xr10:uidLastSave="{00000000-0000-0000-0000-000000000000}"/>
  <bookViews>
    <workbookView xWindow="-108" yWindow="-108" windowWidth="23256" windowHeight="12456" tabRatio="806" activeTab="6" xr2:uid="{FF54B921-757D-40CE-9C37-11A30AB7ABD8}"/>
  </bookViews>
  <sheets>
    <sheet name="Sheet1" sheetId="1" r:id="rId1"/>
    <sheet name="Sheet2" sheetId="2" r:id="rId2"/>
    <sheet name="Sheet3" sheetId="3" r:id="rId3"/>
    <sheet name="Sheet4" sheetId="4" r:id="rId4"/>
    <sheet name="world country" sheetId="6" r:id="rId5"/>
    <sheet name="Table 1" sheetId="7" r:id="rId6"/>
    <sheet name="Sheet5" sheetId="5" r:id="rId7"/>
    <sheet name="Sheet6" sheetId="8" r:id="rId8"/>
    <sheet name="Sheet7" sheetId="9" r:id="rId9"/>
    <sheet name="Sheet8" sheetId="10" r:id="rId10"/>
  </sheets>
  <definedNames>
    <definedName name="_xlnm._FilterDatabase" localSheetId="0" hidden="1">Sheet1!$A$1:$I$20</definedName>
    <definedName name="Amount">Sheet3!$E$2:$E$55</definedName>
    <definedName name="ExternalData_1" localSheetId="6" hidden="1">Sheet5!$A$1:$B$6</definedName>
    <definedName name="ExternalData_1" localSheetId="7" hidden="1">Sheet6!$A$1:$C$6</definedName>
    <definedName name="ExternalData_1" localSheetId="8" hidden="1">Sheet7!$A$1:$C$9</definedName>
    <definedName name="ExternalData_1" localSheetId="9" hidden="1">Sheet8!$A$1:$E$10</definedName>
    <definedName name="ExternalData_1" localSheetId="5" hidden="1">'Table 1'!$A$1:$F$13</definedName>
    <definedName name="ExternalData_1" localSheetId="4" hidden="1">'world country'!$A$1:$O$240</definedName>
    <definedName name="table1">Sheet2!$A$1:$F$19</definedName>
  </definedNames>
  <calcPr calcId="191029" iterate="1" iterateCount="1000" iterateDelta="0.0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Category_a8dfe3cb-a6f0-4ac3-b0a9-27a6de0527b1" name="DimCategory" connection="Query - DimCategory"/>
          <x15:modelTable id="DimCustomer_6a516f11-1f8d-40a3-86ef-43c6e1ba9cd8" name="DimCustomer" connection="Query - DimCustomer"/>
          <x15:modelTable id="DimProduct_322f4387-d721-4047-a001-beec6444d5fe" name="DimProduct" connection="Query - DimProduct"/>
          <x15:modelTable id="FactSales_2f368148-b59e-4eef-b221-3e3745d26fa9" name="FactSales" connection="Query - FactSales"/>
        </x15:modelTables>
        <x15:modelRelationships>
          <x15:modelRelationship fromTable="DimProduct" fromColumn="CategoryID" toTable="DimCategory" toColumn="CategoryID"/>
          <x15:modelRelationship fromTable="FactSales" fromColumn="ProductID" toTable="DimProduct" toColumn="ProductID"/>
          <x15:modelRelationship fromTable="FactSales" fromColumn="CustomerID" toTable="DimCustomer" toColumn="Customer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2" i="3"/>
  <c r="L5" i="4"/>
  <c r="G21" i="4"/>
  <c r="C2" i="4" a="1"/>
  <c r="C2" i="4" s="1"/>
  <c r="O168" i="2" a="1"/>
  <c r="O168" i="2" s="1"/>
  <c r="J168" i="2" a="1"/>
  <c r="J168" i="2" s="1"/>
  <c r="F168" i="2"/>
  <c r="E158" i="2" a="1"/>
  <c r="E158" i="2" s="1"/>
  <c r="E151" i="2" a="1"/>
  <c r="E151" i="2" s="1"/>
  <c r="E128" i="2" a="1"/>
  <c r="E128" i="2" s="1"/>
  <c r="E120" i="2" a="1"/>
  <c r="E120" i="2" s="1"/>
  <c r="B119" i="2" a="1"/>
  <c r="B119" i="2" s="1"/>
  <c r="C109" i="2" a="1"/>
  <c r="C109" i="2" s="1"/>
  <c r="A90" i="2" a="1"/>
  <c r="A90" i="2" s="1"/>
  <c r="J30" i="2" a="1"/>
  <c r="J30" i="2" s="1"/>
  <c r="F45" i="2"/>
  <c r="F44" i="2"/>
  <c r="F42" i="2"/>
  <c r="F41" i="2"/>
  <c r="F40" i="2"/>
  <c r="F39" i="2"/>
  <c r="F38" i="2"/>
  <c r="F36" i="2"/>
  <c r="F35" i="2"/>
  <c r="F33" i="2"/>
  <c r="F32" i="2"/>
  <c r="F31" i="2"/>
  <c r="F30" i="2"/>
  <c r="F29" i="2"/>
  <c r="O23" i="2"/>
  <c r="O22" i="2"/>
  <c r="O20" i="2"/>
  <c r="O19" i="2"/>
  <c r="O18" i="2"/>
  <c r="O17" i="2"/>
  <c r="O16" i="2"/>
  <c r="O14" i="2"/>
  <c r="O13" i="2"/>
  <c r="O11" i="2"/>
  <c r="O10" i="2"/>
  <c r="O9" i="2"/>
  <c r="O8" i="2"/>
  <c r="O7" i="2"/>
  <c r="F18" i="2"/>
  <c r="F17" i="2"/>
  <c r="F15" i="2"/>
  <c r="F14" i="2"/>
  <c r="F13" i="2"/>
  <c r="F12" i="2"/>
  <c r="F11" i="2"/>
  <c r="F9" i="2"/>
  <c r="F8" i="2"/>
  <c r="F6" i="2"/>
  <c r="F5" i="2"/>
  <c r="F4" i="2"/>
  <c r="F3" i="2"/>
  <c r="F2" i="2"/>
  <c r="M13" i="1"/>
  <c r="J29" i="1"/>
  <c r="J28" i="1"/>
  <c r="J27" i="1"/>
  <c r="J26" i="1"/>
  <c r="G26" i="1"/>
  <c r="G30" i="1"/>
  <c r="G29" i="1"/>
  <c r="G27" i="1"/>
  <c r="D31" i="1"/>
  <c r="D3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  <c r="D29" i="1"/>
  <c r="D28" i="1"/>
  <c r="D27" i="1"/>
  <c r="D26" i="1"/>
  <c r="H18" i="1"/>
  <c r="H17" i="1"/>
  <c r="H15" i="1"/>
  <c r="H14" i="1"/>
  <c r="H13" i="1"/>
  <c r="H12" i="1"/>
  <c r="H11" i="1"/>
  <c r="H9" i="1"/>
  <c r="H8" i="1"/>
  <c r="H6" i="1"/>
  <c r="H5" i="1"/>
  <c r="H4" i="1"/>
  <c r="H3" i="1"/>
  <c r="H2" i="1"/>
  <c r="G28" i="1" l="1"/>
  <c r="J20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C52CBDD-011C-4ED7-8F49-1E8ABE30EB5E}" keepAlive="1" name="ModelConnection_ExternalData_1" description="Data Model" type="5" refreshedVersion="8" minRefreshableVersion="5" saveData="1">
    <dbPr connection="Data Model Connection" command="DimCategory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E09380FA-B883-4857-9189-1B1F1FDDB64E}" keepAlive="1" name="ModelConnection_ExternalData_11" description="Data Model" type="5" refreshedVersion="8" minRefreshableVersion="5" saveData="1">
    <dbPr connection="Data Model Connection" command="DimCustomer" commandType="3"/>
    <extLst>
      <ext xmlns:x15="http://schemas.microsoft.com/office/spreadsheetml/2010/11/main" uri="{DE250136-89BD-433C-8126-D09CA5730AF9}">
        <x15:connection id="" model="1"/>
      </ext>
    </extLst>
  </connection>
  <connection id="3" xr16:uid="{4FEA53C8-9627-435F-9903-08C0109E6383}" keepAlive="1" name="ModelConnection_ExternalData_12" description="Data Model" type="5" refreshedVersion="8" minRefreshableVersion="5" saveData="1">
    <dbPr connection="Data Model Connection" command="DimProduct" commandType="3"/>
    <extLst>
      <ext xmlns:x15="http://schemas.microsoft.com/office/spreadsheetml/2010/11/main" uri="{DE250136-89BD-433C-8126-D09CA5730AF9}">
        <x15:connection id="" model="1"/>
      </ext>
    </extLst>
  </connection>
  <connection id="4" xr16:uid="{E4F4C13B-0F91-4DC3-9743-57291CD98F1F}" keepAlive="1" name="ModelConnection_ExternalData_13" description="Data Model" type="5" refreshedVersion="8" minRefreshableVersion="5" saveData="1">
    <dbPr connection="Data Model Connection" command="FactSales" commandType="3"/>
    <extLst>
      <ext xmlns:x15="http://schemas.microsoft.com/office/spreadsheetml/2010/11/main" uri="{DE250136-89BD-433C-8126-D09CA5730AF9}">
        <x15:connection id="" model="1"/>
      </ext>
    </extLst>
  </connection>
  <connection id="5" xr16:uid="{587C5932-1303-4638-B02F-BD29962BDD35}" name="Query - DimCategory" description="Connection to the 'DimCategory' query in the workbook." type="100" refreshedVersion="8" minRefreshableVersion="5">
    <extLst>
      <ext xmlns:x15="http://schemas.microsoft.com/office/spreadsheetml/2010/11/main" uri="{DE250136-89BD-433C-8126-D09CA5730AF9}">
        <x15:connection id="035217af-506c-4948-aa55-2da6748cf5cf"/>
      </ext>
    </extLst>
  </connection>
  <connection id="6" xr16:uid="{6A46918E-92D5-4FC5-9845-8AB423B5B282}" name="Query - DimCustomer" description="Connection to the 'DimCustomer' query in the workbook." type="100" refreshedVersion="8" minRefreshableVersion="5">
    <extLst>
      <ext xmlns:x15="http://schemas.microsoft.com/office/spreadsheetml/2010/11/main" uri="{DE250136-89BD-433C-8126-D09CA5730AF9}">
        <x15:connection id="c9519cec-bdda-41ab-99e7-1d636447870f"/>
      </ext>
    </extLst>
  </connection>
  <connection id="7" xr16:uid="{D746D029-1CF1-44C1-8206-677AEF66EA33}" name="Query - DimProduct" description="Connection to the 'DimProduct' query in the workbook." type="100" refreshedVersion="8" minRefreshableVersion="5">
    <extLst>
      <ext xmlns:x15="http://schemas.microsoft.com/office/spreadsheetml/2010/11/main" uri="{DE250136-89BD-433C-8126-D09CA5730AF9}">
        <x15:connection id="ccdcf2e4-a8a6-4ba9-a098-f09f4095f9d3"/>
      </ext>
    </extLst>
  </connection>
  <connection id="8" xr16:uid="{05DFC4C8-EC98-4DBA-A771-23F9A8D7F3C7}" name="Query - FactSales" description="Connection to the 'FactSales' query in the workbook." type="100" refreshedVersion="8" minRefreshableVersion="5">
    <extLst>
      <ext xmlns:x15="http://schemas.microsoft.com/office/spreadsheetml/2010/11/main" uri="{DE250136-89BD-433C-8126-D09CA5730AF9}">
        <x15:connection id="88f48732-3232-4aae-bee9-6a15131a2ddf"/>
      </ext>
    </extLst>
  </connection>
  <connection id="9" xr16:uid="{19AD11C4-ECBA-4208-9506-5693D8F3B0C2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10" xr16:uid="{A1780D39-8C2A-4BFE-9F38-1FFFDADABD1C}" keepAlive="1" name="Query - world country" description="Connection to the 'world country' query in the workbook." type="5" refreshedVersion="8" background="1" saveData="1">
    <dbPr connection="Provider=Microsoft.Mashup.OleDb.1;Data Source=$Workbook$;Location=&quot;world country&quot;;Extended Properties=&quot;&quot;" command="SELECT * FROM [world country]"/>
  </connection>
  <connection id="11" xr16:uid="{C413A842-AD17-4FFC-9E6F-73C7720B7564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<sst xmlns="http://schemas.openxmlformats.org/spreadsheetml/2006/main" count="2714" uniqueCount="1266">
  <si>
    <t>CustomerName</t>
  </si>
  <si>
    <t>Branch</t>
  </si>
  <si>
    <t>Country</t>
  </si>
  <si>
    <t>TransactionType</t>
  </si>
  <si>
    <t>Category</t>
  </si>
  <si>
    <t>Currency</t>
  </si>
  <si>
    <t>Amount</t>
  </si>
  <si>
    <t>AmountUSD</t>
  </si>
  <si>
    <t>Balance</t>
  </si>
  <si>
    <t>Aisha Singh</t>
  </si>
  <si>
    <t>London</t>
  </si>
  <si>
    <t>UK</t>
  </si>
  <si>
    <t>Withdrawal</t>
  </si>
  <si>
    <t>Dining</t>
  </si>
  <si>
    <t>EUR</t>
  </si>
  <si>
    <t>David Mueller</t>
  </si>
  <si>
    <t>Tokyo</t>
  </si>
  <si>
    <t>Japan</t>
  </si>
  <si>
    <t>Fee</t>
  </si>
  <si>
    <t>Other</t>
  </si>
  <si>
    <t>USD</t>
  </si>
  <si>
    <t>Mohammed Sato</t>
  </si>
  <si>
    <t>Toronto</t>
  </si>
  <si>
    <t>Canada</t>
  </si>
  <si>
    <t>Richard Harris</t>
  </si>
  <si>
    <t>New York</t>
  </si>
  <si>
    <t>USA</t>
  </si>
  <si>
    <t>Entertainment</t>
  </si>
  <si>
    <t>Susan Miller</t>
  </si>
  <si>
    <t>Shopping</t>
  </si>
  <si>
    <t>Kenji Sato</t>
  </si>
  <si>
    <t>Sydney</t>
  </si>
  <si>
    <t>Australia</t>
  </si>
  <si>
    <t>Payment</t>
  </si>
  <si>
    <t>Education</t>
  </si>
  <si>
    <t>Joseph Wilson</t>
  </si>
  <si>
    <t>Singapore</t>
  </si>
  <si>
    <t>Deposit</t>
  </si>
  <si>
    <t>Salary</t>
  </si>
  <si>
    <t>CNY</t>
  </si>
  <si>
    <t>Charles Park</t>
  </si>
  <si>
    <t>Wei White</t>
  </si>
  <si>
    <t>Frankfurt</t>
  </si>
  <si>
    <t>Germany</t>
  </si>
  <si>
    <t>Insurance</t>
  </si>
  <si>
    <t>David Wilson</t>
  </si>
  <si>
    <t>Michael Lopez</t>
  </si>
  <si>
    <t>Deepa Mueller</t>
  </si>
  <si>
    <t>Li Brown</t>
  </si>
  <si>
    <t>Transfer</t>
  </si>
  <si>
    <t>Raj Liu</t>
  </si>
  <si>
    <t>Investment</t>
  </si>
  <si>
    <t>Priya Thomas</t>
  </si>
  <si>
    <t>Anil Gonzalez</t>
  </si>
  <si>
    <t>Loan</t>
  </si>
  <si>
    <t>Charles Rodriguez</t>
  </si>
  <si>
    <t>Dubai</t>
  </si>
  <si>
    <t>UAE</t>
  </si>
  <si>
    <t>Kenji Sharma</t>
  </si>
  <si>
    <t>Sum</t>
  </si>
  <si>
    <t xml:space="preserve">sumif </t>
  </si>
  <si>
    <t>sumifs</t>
  </si>
  <si>
    <t>sumproduct</t>
  </si>
  <si>
    <t>sumsqr</t>
  </si>
  <si>
    <t>count</t>
  </si>
  <si>
    <t>counta</t>
  </si>
  <si>
    <t>abc</t>
  </si>
  <si>
    <t>countblank</t>
  </si>
  <si>
    <t>countif</t>
  </si>
  <si>
    <t>countifs</t>
  </si>
  <si>
    <t>Avg</t>
  </si>
  <si>
    <t>AvgA</t>
  </si>
  <si>
    <t>Avgif</t>
  </si>
  <si>
    <t>Avgifs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</si>
  <si>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</si>
  <si>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</si>
  <si>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</si>
  <si>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</si>
  <si>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</si>
  <si>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</si>
  <si>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</si>
  <si>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</si>
  <si>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</si>
  <si>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</si>
  <si>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</si>
  <si>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Count</t>
  </si>
  <si>
    <t>Confidence Level(95.0%)</t>
  </si>
  <si>
    <t>Code</t>
  </si>
  <si>
    <t>Name</t>
  </si>
  <si>
    <t>Continent</t>
  </si>
  <si>
    <t>Region</t>
  </si>
  <si>
    <t>SurfaceArea</t>
  </si>
  <si>
    <t>IndepYear</t>
  </si>
  <si>
    <t>Population</t>
  </si>
  <si>
    <t>LifeExpectancy</t>
  </si>
  <si>
    <t>GNP</t>
  </si>
  <si>
    <t>GNPOld</t>
  </si>
  <si>
    <t>LocalName</t>
  </si>
  <si>
    <t>GovernmentForm</t>
  </si>
  <si>
    <t>HeadOfState</t>
  </si>
  <si>
    <t>Capital</t>
  </si>
  <si>
    <t>Code2</t>
  </si>
  <si>
    <t>ABW</t>
  </si>
  <si>
    <t>Aruba</t>
  </si>
  <si>
    <t>North America</t>
  </si>
  <si>
    <t>Caribbean</t>
  </si>
  <si>
    <t>Nonmetropolitan Territory of The Netherlands</t>
  </si>
  <si>
    <t>Beatrix</t>
  </si>
  <si>
    <t>AW</t>
  </si>
  <si>
    <t>AFG</t>
  </si>
  <si>
    <t>Afghanistan</t>
  </si>
  <si>
    <t>Asia</t>
  </si>
  <si>
    <t>Southern and Central Asia</t>
  </si>
  <si>
    <t>Afganistan/Afqanestan</t>
  </si>
  <si>
    <t>Islamic Emirate</t>
  </si>
  <si>
    <t>Mohammad Omar</t>
  </si>
  <si>
    <t>AF</t>
  </si>
  <si>
    <t>AGO</t>
  </si>
  <si>
    <t>Angola</t>
  </si>
  <si>
    <t>Africa</t>
  </si>
  <si>
    <t>Central Africa</t>
  </si>
  <si>
    <t>Republic</t>
  </si>
  <si>
    <t>José Eduardo dos Santos</t>
  </si>
  <si>
    <t>AO</t>
  </si>
  <si>
    <t>AIA</t>
  </si>
  <si>
    <t>Anguilla</t>
  </si>
  <si>
    <t>Dependent Territory of the UK</t>
  </si>
  <si>
    <t>Elisabeth II</t>
  </si>
  <si>
    <t>AI</t>
  </si>
  <si>
    <t>ALB</t>
  </si>
  <si>
    <t>Albania</t>
  </si>
  <si>
    <t>Europe</t>
  </si>
  <si>
    <t>Southern Europe</t>
  </si>
  <si>
    <t>Shqipëria</t>
  </si>
  <si>
    <t>Rexhep Mejdani</t>
  </si>
  <si>
    <t>AL</t>
  </si>
  <si>
    <t>AND</t>
  </si>
  <si>
    <t>Andorra</t>
  </si>
  <si>
    <t>Parliamentary Coprincipality</t>
  </si>
  <si>
    <t/>
  </si>
  <si>
    <t>AD</t>
  </si>
  <si>
    <t>ANT</t>
  </si>
  <si>
    <t>Netherlands Antilles</t>
  </si>
  <si>
    <t>Nederlandse Antillen</t>
  </si>
  <si>
    <t>AN</t>
  </si>
  <si>
    <t>ARE</t>
  </si>
  <si>
    <t>United Arab Emirates</t>
  </si>
  <si>
    <t>Middle East</t>
  </si>
  <si>
    <t>Al-Imarat al-´Arabiya al-Muttahida</t>
  </si>
  <si>
    <t>Emirate Federation</t>
  </si>
  <si>
    <t>Zayid bin Sultan al-Nahayan</t>
  </si>
  <si>
    <t>AE</t>
  </si>
  <si>
    <t>ARG</t>
  </si>
  <si>
    <t>Argentina</t>
  </si>
  <si>
    <t>South America</t>
  </si>
  <si>
    <t>Federal Republic</t>
  </si>
  <si>
    <t>Fernando de la Rúa</t>
  </si>
  <si>
    <t>AR</t>
  </si>
  <si>
    <t>ARM</t>
  </si>
  <si>
    <t>Armenia</t>
  </si>
  <si>
    <t>Hajastan</t>
  </si>
  <si>
    <t>Robert Kotšarjan</t>
  </si>
  <si>
    <t>AM</t>
  </si>
  <si>
    <t>ASM</t>
  </si>
  <si>
    <t>American Samoa</t>
  </si>
  <si>
    <t>Oceania</t>
  </si>
  <si>
    <t>Polynesia</t>
  </si>
  <si>
    <t>Amerika Samoa</t>
  </si>
  <si>
    <t>US Territory</t>
  </si>
  <si>
    <t>George W. Bush</t>
  </si>
  <si>
    <t>AS</t>
  </si>
  <si>
    <t>ATA</t>
  </si>
  <si>
    <t>Antarctica</t>
  </si>
  <si>
    <t>–</t>
  </si>
  <si>
    <t>Co-administrated</t>
  </si>
  <si>
    <t>AQ</t>
  </si>
  <si>
    <t>ATF</t>
  </si>
  <si>
    <t>French Southern territories</t>
  </si>
  <si>
    <t>Terres australes françaises</t>
  </si>
  <si>
    <t>Nonmetropolitan Territory of France</t>
  </si>
  <si>
    <t>Jacques Chirac</t>
  </si>
  <si>
    <t>TF</t>
  </si>
  <si>
    <t>ATG</t>
  </si>
  <si>
    <t>Antigua and Barbuda</t>
  </si>
  <si>
    <t>Constitutional Monarchy</t>
  </si>
  <si>
    <t>AG</t>
  </si>
  <si>
    <t>AUS</t>
  </si>
  <si>
    <t>Australia and New Zealand</t>
  </si>
  <si>
    <t>Constitutional Monarchy, Federation</t>
  </si>
  <si>
    <t>AU</t>
  </si>
  <si>
    <t>AUT</t>
  </si>
  <si>
    <t>Austria</t>
  </si>
  <si>
    <t>Western Europe</t>
  </si>
  <si>
    <t>Österreich</t>
  </si>
  <si>
    <t>Thomas Klestil</t>
  </si>
  <si>
    <t>AT</t>
  </si>
  <si>
    <t>AZE</t>
  </si>
  <si>
    <t>Azerbaijan</t>
  </si>
  <si>
    <t>Azärbaycan</t>
  </si>
  <si>
    <t>Heydär Äliyev</t>
  </si>
  <si>
    <t>AZ</t>
  </si>
  <si>
    <t>BDI</t>
  </si>
  <si>
    <t>Burundi</t>
  </si>
  <si>
    <t>Eastern Africa</t>
  </si>
  <si>
    <t>Burundi/Uburundi</t>
  </si>
  <si>
    <t>Pierre Buyoya</t>
  </si>
  <si>
    <t>BI</t>
  </si>
  <si>
    <t>BEL</t>
  </si>
  <si>
    <t>Belgium</t>
  </si>
  <si>
    <t>België/Belgique</t>
  </si>
  <si>
    <t>Albert II</t>
  </si>
  <si>
    <t>BE</t>
  </si>
  <si>
    <t>BEN</t>
  </si>
  <si>
    <t>Benin</t>
  </si>
  <si>
    <t>Western Africa</t>
  </si>
  <si>
    <t>Bénin</t>
  </si>
  <si>
    <t>Mathieu Kérékou</t>
  </si>
  <si>
    <t>BJ</t>
  </si>
  <si>
    <t>BFA</t>
  </si>
  <si>
    <t>Burkina Faso</t>
  </si>
  <si>
    <t>Blaise Compaoré</t>
  </si>
  <si>
    <t>BF</t>
  </si>
  <si>
    <t>BGD</t>
  </si>
  <si>
    <t>Bangladesh</t>
  </si>
  <si>
    <t>Shahabuddin Ahmad</t>
  </si>
  <si>
    <t>BD</t>
  </si>
  <si>
    <t>BGR</t>
  </si>
  <si>
    <t>Bulgaria</t>
  </si>
  <si>
    <t>Eastern Europe</t>
  </si>
  <si>
    <t>Balgarija</t>
  </si>
  <si>
    <t>Petar Stojanov</t>
  </si>
  <si>
    <t>BG</t>
  </si>
  <si>
    <t>BHR</t>
  </si>
  <si>
    <t>Bahrain</t>
  </si>
  <si>
    <t>Al-Bahrayn</t>
  </si>
  <si>
    <t>Monarchy (Emirate)</t>
  </si>
  <si>
    <t>Hamad ibn Isa al-Khalifa</t>
  </si>
  <si>
    <t>BH</t>
  </si>
  <si>
    <t>BHS</t>
  </si>
  <si>
    <t>Bahamas</t>
  </si>
  <si>
    <t>The Bahamas</t>
  </si>
  <si>
    <t>BS</t>
  </si>
  <si>
    <t>BIH</t>
  </si>
  <si>
    <t>Bosnia and Herzegovina</t>
  </si>
  <si>
    <t>Bosna i Hercegovina</t>
  </si>
  <si>
    <t>Ante Jelavic</t>
  </si>
  <si>
    <t>BA</t>
  </si>
  <si>
    <t>BLR</t>
  </si>
  <si>
    <t>Belarus</t>
  </si>
  <si>
    <t>Aljaksandr Lukašenka</t>
  </si>
  <si>
    <t>BY</t>
  </si>
  <si>
    <t>BLZ</t>
  </si>
  <si>
    <t>Belize</t>
  </si>
  <si>
    <t>Central America</t>
  </si>
  <si>
    <t>BZ</t>
  </si>
  <si>
    <t>BMU</t>
  </si>
  <si>
    <t>Bermuda</t>
  </si>
  <si>
    <t>BM</t>
  </si>
  <si>
    <t>BOL</t>
  </si>
  <si>
    <t>Bolivia</t>
  </si>
  <si>
    <t>Hugo Bánzer Suárez</t>
  </si>
  <si>
    <t>BO</t>
  </si>
  <si>
    <t>BRA</t>
  </si>
  <si>
    <t>Brazil</t>
  </si>
  <si>
    <t>Brasil</t>
  </si>
  <si>
    <t>Fernando Henrique Cardoso</t>
  </si>
  <si>
    <t>BR</t>
  </si>
  <si>
    <t>BRB</t>
  </si>
  <si>
    <t>Barbados</t>
  </si>
  <si>
    <t>BB</t>
  </si>
  <si>
    <t>BRN</t>
  </si>
  <si>
    <t>Brunei</t>
  </si>
  <si>
    <t>Southeast Asia</t>
  </si>
  <si>
    <t>Brunei Darussalam</t>
  </si>
  <si>
    <t>Monarchy (Sultanate)</t>
  </si>
  <si>
    <t>Haji Hassan al-Bolkiah</t>
  </si>
  <si>
    <t>BN</t>
  </si>
  <si>
    <t>BTN</t>
  </si>
  <si>
    <t>Bhutan</t>
  </si>
  <si>
    <t>Druk-Yul</t>
  </si>
  <si>
    <t>Monarchy</t>
  </si>
  <si>
    <t>Jigme Singye Wangchuk</t>
  </si>
  <si>
    <t>BT</t>
  </si>
  <si>
    <t>BVT</t>
  </si>
  <si>
    <t>Bouvet Island</t>
  </si>
  <si>
    <t>Bouvetøya</t>
  </si>
  <si>
    <t>Dependent Territory of Norway</t>
  </si>
  <si>
    <t>Harald V</t>
  </si>
  <si>
    <t>BV</t>
  </si>
  <si>
    <t>BWA</t>
  </si>
  <si>
    <t>Botswana</t>
  </si>
  <si>
    <t>Southern Africa</t>
  </si>
  <si>
    <t>Festus G. Mogae</t>
  </si>
  <si>
    <t>BW</t>
  </si>
  <si>
    <t>CAF</t>
  </si>
  <si>
    <t>Central African Republic</t>
  </si>
  <si>
    <t>Centrafrique/Bê-Afrîka</t>
  </si>
  <si>
    <t>Ange-Félix Patassé</t>
  </si>
  <si>
    <t>CF</t>
  </si>
  <si>
    <t>CAN</t>
  </si>
  <si>
    <t>CA</t>
  </si>
  <si>
    <t>CCK</t>
  </si>
  <si>
    <t>Cocos (Keeling) Islands</t>
  </si>
  <si>
    <t>Territory of Australia</t>
  </si>
  <si>
    <t>CC</t>
  </si>
  <si>
    <t>CHE</t>
  </si>
  <si>
    <t>Switzerland</t>
  </si>
  <si>
    <t>Schweiz/Suisse/Svizzera/Svizra</t>
  </si>
  <si>
    <t>Federation</t>
  </si>
  <si>
    <t>Adolf Ogi</t>
  </si>
  <si>
    <t>CH</t>
  </si>
  <si>
    <t>CHL</t>
  </si>
  <si>
    <t>Chile</t>
  </si>
  <si>
    <t>Ricardo Lagos Escobar</t>
  </si>
  <si>
    <t>CL</t>
  </si>
  <si>
    <t>CHN</t>
  </si>
  <si>
    <t>China</t>
  </si>
  <si>
    <t>Eastern Asia</t>
  </si>
  <si>
    <t>Zhongquo</t>
  </si>
  <si>
    <t>People'sRepublic</t>
  </si>
  <si>
    <t>Jiang Zemin</t>
  </si>
  <si>
    <t>CN</t>
  </si>
  <si>
    <t>CIV</t>
  </si>
  <si>
    <t>Côte d’Ivoire</t>
  </si>
  <si>
    <t>Laurent Gbagbo</t>
  </si>
  <si>
    <t>CI</t>
  </si>
  <si>
    <t>CMR</t>
  </si>
  <si>
    <t>Cameroon</t>
  </si>
  <si>
    <t>Cameroun/Cameroon</t>
  </si>
  <si>
    <t>Paul Biya</t>
  </si>
  <si>
    <t>CM</t>
  </si>
  <si>
    <t>COD</t>
  </si>
  <si>
    <t>Congo, The Democratic Republic of the</t>
  </si>
  <si>
    <t>République Démocratique du Congo</t>
  </si>
  <si>
    <t>Joseph Kabila</t>
  </si>
  <si>
    <t>CD</t>
  </si>
  <si>
    <t>COG</t>
  </si>
  <si>
    <t>Congo</t>
  </si>
  <si>
    <t>Denis Sassou-Nguesso</t>
  </si>
  <si>
    <t>CG</t>
  </si>
  <si>
    <t>COK</t>
  </si>
  <si>
    <t>Cook Islands</t>
  </si>
  <si>
    <t>The Cook Islands</t>
  </si>
  <si>
    <t>Nonmetropolitan Territory of New Zealand</t>
  </si>
  <si>
    <t>CK</t>
  </si>
  <si>
    <t>COL</t>
  </si>
  <si>
    <t>Colombia</t>
  </si>
  <si>
    <t>Andrés Pastrana Arango</t>
  </si>
  <si>
    <t>CO</t>
  </si>
  <si>
    <t>COM</t>
  </si>
  <si>
    <t>Comoros</t>
  </si>
  <si>
    <t>Komori/Comores</t>
  </si>
  <si>
    <t>Azali Assoumani</t>
  </si>
  <si>
    <t>KM</t>
  </si>
  <si>
    <t>CPV</t>
  </si>
  <si>
    <t>Cape Verde</t>
  </si>
  <si>
    <t>Cabo Verde</t>
  </si>
  <si>
    <t>António Mascarenhas Monteiro</t>
  </si>
  <si>
    <t>CV</t>
  </si>
  <si>
    <t>CRI</t>
  </si>
  <si>
    <t>Costa Rica</t>
  </si>
  <si>
    <t>Miguel Ángel Rodríguez Echeverría</t>
  </si>
  <si>
    <t>CR</t>
  </si>
  <si>
    <t>CUB</t>
  </si>
  <si>
    <t>Cuba</t>
  </si>
  <si>
    <t>Socialistic Republic</t>
  </si>
  <si>
    <t>Fidel Castro Ruz</t>
  </si>
  <si>
    <t>CU</t>
  </si>
  <si>
    <t>CXR</t>
  </si>
  <si>
    <t>Christmas Island</t>
  </si>
  <si>
    <t>CX</t>
  </si>
  <si>
    <t>CYM</t>
  </si>
  <si>
    <t>Cayman Islands</t>
  </si>
  <si>
    <t>KY</t>
  </si>
  <si>
    <t>CYP</t>
  </si>
  <si>
    <t>Cyprus</t>
  </si>
  <si>
    <t>Kýpros/Kibris</t>
  </si>
  <si>
    <t>Glafkos Klerides</t>
  </si>
  <si>
    <t>CY</t>
  </si>
  <si>
    <t>CZE</t>
  </si>
  <si>
    <t>Czech Republic</t>
  </si>
  <si>
    <t>¸esko</t>
  </si>
  <si>
    <t>Václav Havel</t>
  </si>
  <si>
    <t>CZ</t>
  </si>
  <si>
    <t>DEU</t>
  </si>
  <si>
    <t>Deutschland</t>
  </si>
  <si>
    <t>Johannes Rau</t>
  </si>
  <si>
    <t>DE</t>
  </si>
  <si>
    <t>DJI</t>
  </si>
  <si>
    <t>Djibouti</t>
  </si>
  <si>
    <t>Djibouti/Jibuti</t>
  </si>
  <si>
    <t>Ismail Omar Guelleh</t>
  </si>
  <si>
    <t>DJ</t>
  </si>
  <si>
    <t>DMA</t>
  </si>
  <si>
    <t>Dominica</t>
  </si>
  <si>
    <t>Vernon Shaw</t>
  </si>
  <si>
    <t>DM</t>
  </si>
  <si>
    <t>DNK</t>
  </si>
  <si>
    <t>Denmark</t>
  </si>
  <si>
    <t>Nordic Countries</t>
  </si>
  <si>
    <t>Danmark</t>
  </si>
  <si>
    <t>Margrethe II</t>
  </si>
  <si>
    <t>DK</t>
  </si>
  <si>
    <t>DOM</t>
  </si>
  <si>
    <t>Dominican Republic</t>
  </si>
  <si>
    <t>República Dominicana</t>
  </si>
  <si>
    <t>Hipólito Mejía Domínguez</t>
  </si>
  <si>
    <t>DO</t>
  </si>
  <si>
    <t>DZA</t>
  </si>
  <si>
    <t>Algeria</t>
  </si>
  <si>
    <t>Northern Africa</t>
  </si>
  <si>
    <t>Al-Jaza’ir/Algérie</t>
  </si>
  <si>
    <t>Abdelaziz Bouteflika</t>
  </si>
  <si>
    <t>DZ</t>
  </si>
  <si>
    <t>ECU</t>
  </si>
  <si>
    <t>Ecuador</t>
  </si>
  <si>
    <t>Gustavo Noboa Bejarano</t>
  </si>
  <si>
    <t>EC</t>
  </si>
  <si>
    <t>EGY</t>
  </si>
  <si>
    <t>Egypt</t>
  </si>
  <si>
    <t>Misr</t>
  </si>
  <si>
    <t>Hosni Mubarak</t>
  </si>
  <si>
    <t>EG</t>
  </si>
  <si>
    <t>ERI</t>
  </si>
  <si>
    <t>Eritrea</t>
  </si>
  <si>
    <t>Ertra</t>
  </si>
  <si>
    <t>Isayas Afewerki [Isaias Afwerki]</t>
  </si>
  <si>
    <t>ER</t>
  </si>
  <si>
    <t>ESH</t>
  </si>
  <si>
    <t>Western Sahara</t>
  </si>
  <si>
    <t>As-Sahrawiya</t>
  </si>
  <si>
    <t>Occupied by Marocco</t>
  </si>
  <si>
    <t>Mohammed Abdel Aziz</t>
  </si>
  <si>
    <t>EH</t>
  </si>
  <si>
    <t>ESP</t>
  </si>
  <si>
    <t>Spain</t>
  </si>
  <si>
    <t>España</t>
  </si>
  <si>
    <t>Juan Carlos I</t>
  </si>
  <si>
    <t>ES</t>
  </si>
  <si>
    <t>EST</t>
  </si>
  <si>
    <t>Estonia</t>
  </si>
  <si>
    <t>Baltic Countries</t>
  </si>
  <si>
    <t>Eesti</t>
  </si>
  <si>
    <t>Lennart Meri</t>
  </si>
  <si>
    <t>EE</t>
  </si>
  <si>
    <t>ETH</t>
  </si>
  <si>
    <t>Ethiopia</t>
  </si>
  <si>
    <t>YeItyop´iya</t>
  </si>
  <si>
    <t>Negasso Gidada</t>
  </si>
  <si>
    <t>ET</t>
  </si>
  <si>
    <t>FIN</t>
  </si>
  <si>
    <t>Finland</t>
  </si>
  <si>
    <t>Suomi</t>
  </si>
  <si>
    <t>Tarja Halonen</t>
  </si>
  <si>
    <t>FI</t>
  </si>
  <si>
    <t>FJI</t>
  </si>
  <si>
    <t>Fiji Islands</t>
  </si>
  <si>
    <t>Melanesia</t>
  </si>
  <si>
    <t>Josefa Iloilo</t>
  </si>
  <si>
    <t>FJ</t>
  </si>
  <si>
    <t>FLK</t>
  </si>
  <si>
    <t>Falkland Islands</t>
  </si>
  <si>
    <t>FK</t>
  </si>
  <si>
    <t>FRA</t>
  </si>
  <si>
    <t>France</t>
  </si>
  <si>
    <t>FR</t>
  </si>
  <si>
    <t>FRO</t>
  </si>
  <si>
    <t>Faroe Islands</t>
  </si>
  <si>
    <t>Føroyar</t>
  </si>
  <si>
    <t>Part of Denmark</t>
  </si>
  <si>
    <t>FO</t>
  </si>
  <si>
    <t>FSM</t>
  </si>
  <si>
    <t>Micronesia, Federated States of</t>
  </si>
  <si>
    <t>Micronesia</t>
  </si>
  <si>
    <t>Leo A. Falcam</t>
  </si>
  <si>
    <t>FM</t>
  </si>
  <si>
    <t>GAB</t>
  </si>
  <si>
    <t>Gabon</t>
  </si>
  <si>
    <t>Le Gabon</t>
  </si>
  <si>
    <t>Omar Bongo</t>
  </si>
  <si>
    <t>GA</t>
  </si>
  <si>
    <t>GBR</t>
  </si>
  <si>
    <t>United Kingdom</t>
  </si>
  <si>
    <t>British Islands</t>
  </si>
  <si>
    <t>GB</t>
  </si>
  <si>
    <t>GEO</t>
  </si>
  <si>
    <t>Georgia</t>
  </si>
  <si>
    <t>Sakartvelo</t>
  </si>
  <si>
    <t>Eduard Ševardnadze</t>
  </si>
  <si>
    <t>GE</t>
  </si>
  <si>
    <t>GHA</t>
  </si>
  <si>
    <t>Ghana</t>
  </si>
  <si>
    <t>John Kufuor</t>
  </si>
  <si>
    <t>GH</t>
  </si>
  <si>
    <t>GIB</t>
  </si>
  <si>
    <t>Gibraltar</t>
  </si>
  <si>
    <t>GI</t>
  </si>
  <si>
    <t>GIN</t>
  </si>
  <si>
    <t>Guinea</t>
  </si>
  <si>
    <t>Guinée</t>
  </si>
  <si>
    <t>Lansana Conté</t>
  </si>
  <si>
    <t>GN</t>
  </si>
  <si>
    <t>GLP</t>
  </si>
  <si>
    <t>Guadeloupe</t>
  </si>
  <si>
    <t>Overseas Department of France</t>
  </si>
  <si>
    <t>GP</t>
  </si>
  <si>
    <t>GMB</t>
  </si>
  <si>
    <t>Gambia</t>
  </si>
  <si>
    <t>The Gambia</t>
  </si>
  <si>
    <t>Yahya Jammeh</t>
  </si>
  <si>
    <t>GM</t>
  </si>
  <si>
    <t>GNB</t>
  </si>
  <si>
    <t>Guinea-Bissau</t>
  </si>
  <si>
    <t>Guiné-Bissau</t>
  </si>
  <si>
    <t>Kumba Ialá</t>
  </si>
  <si>
    <t>GW</t>
  </si>
  <si>
    <t>GNQ</t>
  </si>
  <si>
    <t>Equatorial Guinea</t>
  </si>
  <si>
    <t>Guinea Ecuatorial</t>
  </si>
  <si>
    <t>Teodoro Obiang Nguema Mbasogo</t>
  </si>
  <si>
    <t>GQ</t>
  </si>
  <si>
    <t>GRC</t>
  </si>
  <si>
    <t>Greece</t>
  </si>
  <si>
    <t>Elláda</t>
  </si>
  <si>
    <t>Kostis Stefanopoulos</t>
  </si>
  <si>
    <t>GR</t>
  </si>
  <si>
    <t>GRD</t>
  </si>
  <si>
    <t>Grenada</t>
  </si>
  <si>
    <t>GD</t>
  </si>
  <si>
    <t>GRL</t>
  </si>
  <si>
    <t>Greenland</t>
  </si>
  <si>
    <t>Kalaallit Nunaat/Grønland</t>
  </si>
  <si>
    <t>GL</t>
  </si>
  <si>
    <t>GTM</t>
  </si>
  <si>
    <t>Guatemala</t>
  </si>
  <si>
    <t>Alfonso Portillo Cabrera</t>
  </si>
  <si>
    <t>GT</t>
  </si>
  <si>
    <t>GUF</t>
  </si>
  <si>
    <t>French Guiana</t>
  </si>
  <si>
    <t>Guyane française</t>
  </si>
  <si>
    <t>GF</t>
  </si>
  <si>
    <t>GUM</t>
  </si>
  <si>
    <t>Guam</t>
  </si>
  <si>
    <t>GU</t>
  </si>
  <si>
    <t>GUY</t>
  </si>
  <si>
    <t>Guyana</t>
  </si>
  <si>
    <t>Bharrat Jagdeo</t>
  </si>
  <si>
    <t>GY</t>
  </si>
  <si>
    <t>HKG</t>
  </si>
  <si>
    <t>Hong Kong</t>
  </si>
  <si>
    <t>Xianggang/Hong Kong</t>
  </si>
  <si>
    <t>Special Administrative Region of China</t>
  </si>
  <si>
    <t>HK</t>
  </si>
  <si>
    <t>HMD</t>
  </si>
  <si>
    <t>Heard Island and McDonald Islands</t>
  </si>
  <si>
    <t>Heard and McDonald Islands</t>
  </si>
  <si>
    <t>HM</t>
  </si>
  <si>
    <t>HND</t>
  </si>
  <si>
    <t>Honduras</t>
  </si>
  <si>
    <t>Carlos Roberto Flores Facussé</t>
  </si>
  <si>
    <t>HN</t>
  </si>
  <si>
    <t>HRV</t>
  </si>
  <si>
    <t>Croatia</t>
  </si>
  <si>
    <t>Hrvatska</t>
  </si>
  <si>
    <t>Štipe Mesic</t>
  </si>
  <si>
    <t>HR</t>
  </si>
  <si>
    <t>HTI</t>
  </si>
  <si>
    <t>Haiti</t>
  </si>
  <si>
    <t>Haïti/Dayti</t>
  </si>
  <si>
    <t>Jean-Bertrand Aristide</t>
  </si>
  <si>
    <t>HT</t>
  </si>
  <si>
    <t>HUN</t>
  </si>
  <si>
    <t>Hungary</t>
  </si>
  <si>
    <t>Magyarország</t>
  </si>
  <si>
    <t>Ferenc Mádl</t>
  </si>
  <si>
    <t>HU</t>
  </si>
  <si>
    <t>IDN</t>
  </si>
  <si>
    <t>Indonesia</t>
  </si>
  <si>
    <t>Abdurrahman Wahid</t>
  </si>
  <si>
    <t>ID</t>
  </si>
  <si>
    <t>IND</t>
  </si>
  <si>
    <t>India</t>
  </si>
  <si>
    <t>Bharat/India</t>
  </si>
  <si>
    <t>Kocheril Raman Narayanan</t>
  </si>
  <si>
    <t>IN</t>
  </si>
  <si>
    <t>IOT</t>
  </si>
  <si>
    <t>British Indian Ocean Territory</t>
  </si>
  <si>
    <t>IO</t>
  </si>
  <si>
    <t>IRL</t>
  </si>
  <si>
    <t>Ireland</t>
  </si>
  <si>
    <t>Ireland/Éire</t>
  </si>
  <si>
    <t>Mary McAleese</t>
  </si>
  <si>
    <t>IE</t>
  </si>
  <si>
    <t>IRN</t>
  </si>
  <si>
    <t>Iran</t>
  </si>
  <si>
    <t>Islamic Republic</t>
  </si>
  <si>
    <t>Ali Mohammad Khatami-Ardakani</t>
  </si>
  <si>
    <t>IR</t>
  </si>
  <si>
    <t>IRQ</t>
  </si>
  <si>
    <t>Iraq</t>
  </si>
  <si>
    <t>Al-´Iraq</t>
  </si>
  <si>
    <t>Saddam Hussein al-Takriti</t>
  </si>
  <si>
    <t>IQ</t>
  </si>
  <si>
    <t>ISL</t>
  </si>
  <si>
    <t>Iceland</t>
  </si>
  <si>
    <t>Ísland</t>
  </si>
  <si>
    <t>Ólafur Ragnar Grímsson</t>
  </si>
  <si>
    <t>IS</t>
  </si>
  <si>
    <t>ISR</t>
  </si>
  <si>
    <t>Israel</t>
  </si>
  <si>
    <t>Yisra’el/Isra’il</t>
  </si>
  <si>
    <t>Moshe Katzav</t>
  </si>
  <si>
    <t>IL</t>
  </si>
  <si>
    <t>ITA</t>
  </si>
  <si>
    <t>Italy</t>
  </si>
  <si>
    <t>Italia</t>
  </si>
  <si>
    <t>Carlo Azeglio Ciampi</t>
  </si>
  <si>
    <t>IT</t>
  </si>
  <si>
    <t>JAM</t>
  </si>
  <si>
    <t>Jamaica</t>
  </si>
  <si>
    <t>JM</t>
  </si>
  <si>
    <t>JOR</t>
  </si>
  <si>
    <t>Jordan</t>
  </si>
  <si>
    <t>Al-Urdunn</t>
  </si>
  <si>
    <t>Abdullah II</t>
  </si>
  <si>
    <t>JO</t>
  </si>
  <si>
    <t>JPN</t>
  </si>
  <si>
    <t>Nihon/Nippon</t>
  </si>
  <si>
    <t>Akihito</t>
  </si>
  <si>
    <t>JP</t>
  </si>
  <si>
    <t>KAZ</t>
  </si>
  <si>
    <t>Kazakstan</t>
  </si>
  <si>
    <t>Qazaqstan</t>
  </si>
  <si>
    <t>Nursultan Nazarbajev</t>
  </si>
  <si>
    <t>KZ</t>
  </si>
  <si>
    <t>KEN</t>
  </si>
  <si>
    <t>Kenya</t>
  </si>
  <si>
    <t>Daniel arap Moi</t>
  </si>
  <si>
    <t>KE</t>
  </si>
  <si>
    <t>KGZ</t>
  </si>
  <si>
    <t>Kyrgyzstan</t>
  </si>
  <si>
    <t>Askar Akajev</t>
  </si>
  <si>
    <t>KG</t>
  </si>
  <si>
    <t>KHM</t>
  </si>
  <si>
    <t>Cambodia</t>
  </si>
  <si>
    <t>Kâmpuchéa</t>
  </si>
  <si>
    <t>Norodom Sihanouk</t>
  </si>
  <si>
    <t>KH</t>
  </si>
  <si>
    <t>KIR</t>
  </si>
  <si>
    <t>Kiribati</t>
  </si>
  <si>
    <t>Teburoro Tito</t>
  </si>
  <si>
    <t>KI</t>
  </si>
  <si>
    <t>KNA</t>
  </si>
  <si>
    <t>Saint Kitts and Nevis</t>
  </si>
  <si>
    <t>KN</t>
  </si>
  <si>
    <t>KOR</t>
  </si>
  <si>
    <t>South Korea</t>
  </si>
  <si>
    <t>Taehan Min’guk (Namhan)</t>
  </si>
  <si>
    <t>Kim Dae-jung</t>
  </si>
  <si>
    <t>KR</t>
  </si>
  <si>
    <t>KWT</t>
  </si>
  <si>
    <t>Kuwait</t>
  </si>
  <si>
    <t>Al-Kuwayt</t>
  </si>
  <si>
    <t>Constitutional Monarchy (Emirate)</t>
  </si>
  <si>
    <t>Jabir al-Ahmad al-Jabir al-Sabah</t>
  </si>
  <si>
    <t>KW</t>
  </si>
  <si>
    <t>LAO</t>
  </si>
  <si>
    <t>Laos</t>
  </si>
  <si>
    <t>Lao</t>
  </si>
  <si>
    <t>Khamtay Siphandone</t>
  </si>
  <si>
    <t>LA</t>
  </si>
  <si>
    <t>LBN</t>
  </si>
  <si>
    <t>Lebanon</t>
  </si>
  <si>
    <t>Lubnan</t>
  </si>
  <si>
    <t>Émile Lahoud</t>
  </si>
  <si>
    <t>LB</t>
  </si>
  <si>
    <t>LBR</t>
  </si>
  <si>
    <t>Liberia</t>
  </si>
  <si>
    <t>Charles Taylor</t>
  </si>
  <si>
    <t>LR</t>
  </si>
  <si>
    <t>LBY</t>
  </si>
  <si>
    <t>Libyan Arab Jamahiriya</t>
  </si>
  <si>
    <t>Libiya</t>
  </si>
  <si>
    <t>Socialistic State</t>
  </si>
  <si>
    <t>Muammar al-Qadhafi</t>
  </si>
  <si>
    <t>LY</t>
  </si>
  <si>
    <t>LCA</t>
  </si>
  <si>
    <t>Saint Lucia</t>
  </si>
  <si>
    <t>LC</t>
  </si>
  <si>
    <t>LIE</t>
  </si>
  <si>
    <t>Liechtenstein</t>
  </si>
  <si>
    <t>Hans-Adam II</t>
  </si>
  <si>
    <t>LI</t>
  </si>
  <si>
    <t>LKA</t>
  </si>
  <si>
    <t>Sri Lanka</t>
  </si>
  <si>
    <t>Sri Lanka/Ilankai</t>
  </si>
  <si>
    <t>Chandrika Kumaratunga</t>
  </si>
  <si>
    <t>LK</t>
  </si>
  <si>
    <t>LSO</t>
  </si>
  <si>
    <t>Lesotho</t>
  </si>
  <si>
    <t>Letsie III</t>
  </si>
  <si>
    <t>LS</t>
  </si>
  <si>
    <t>LTU</t>
  </si>
  <si>
    <t>Lithuania</t>
  </si>
  <si>
    <t>Lietuva</t>
  </si>
  <si>
    <t>Valdas Adamkus</t>
  </si>
  <si>
    <t>LT</t>
  </si>
  <si>
    <t>LUX</t>
  </si>
  <si>
    <t>Luxembourg</t>
  </si>
  <si>
    <t>Luxembourg/Lëtzebuerg</t>
  </si>
  <si>
    <t>Henri</t>
  </si>
  <si>
    <t>LU</t>
  </si>
  <si>
    <t>LVA</t>
  </si>
  <si>
    <t>Latvia</t>
  </si>
  <si>
    <t>Latvija</t>
  </si>
  <si>
    <t>Vaira Vike-Freiberga</t>
  </si>
  <si>
    <t>LV</t>
  </si>
  <si>
    <t>MAC</t>
  </si>
  <si>
    <t>Macao</t>
  </si>
  <si>
    <t>Macau/Aomen</t>
  </si>
  <si>
    <t>MO</t>
  </si>
  <si>
    <t>MAR</t>
  </si>
  <si>
    <t>Morocco</t>
  </si>
  <si>
    <t>Al-Maghrib</t>
  </si>
  <si>
    <t>Mohammed VI</t>
  </si>
  <si>
    <t>MA</t>
  </si>
  <si>
    <t>MCO</t>
  </si>
  <si>
    <t>Monaco</t>
  </si>
  <si>
    <t>Rainier III</t>
  </si>
  <si>
    <t>MC</t>
  </si>
  <si>
    <t>MDA</t>
  </si>
  <si>
    <t>Moldova</t>
  </si>
  <si>
    <t>Vladimir Voronin</t>
  </si>
  <si>
    <t>MD</t>
  </si>
  <si>
    <t>MDG</t>
  </si>
  <si>
    <t>Madagascar</t>
  </si>
  <si>
    <t>Madagasikara/Madagascar</t>
  </si>
  <si>
    <t>Didier Ratsiraka</t>
  </si>
  <si>
    <t>MG</t>
  </si>
  <si>
    <t>MDV</t>
  </si>
  <si>
    <t>Maldives</t>
  </si>
  <si>
    <t>Dhivehi Raajje/Maldives</t>
  </si>
  <si>
    <t>Maumoon Abdul Gayoom</t>
  </si>
  <si>
    <t>MV</t>
  </si>
  <si>
    <t>MEX</t>
  </si>
  <si>
    <t>Mexico</t>
  </si>
  <si>
    <t>México</t>
  </si>
  <si>
    <t>Vicente Fox Quesada</t>
  </si>
  <si>
    <t>MX</t>
  </si>
  <si>
    <t>MHL</t>
  </si>
  <si>
    <t>Marshall Islands</t>
  </si>
  <si>
    <t>Marshall Islands/Majol</t>
  </si>
  <si>
    <t>Kessai Note</t>
  </si>
  <si>
    <t>MH</t>
  </si>
  <si>
    <t>MKD</t>
  </si>
  <si>
    <t>Macedonia</t>
  </si>
  <si>
    <t>Makedonija</t>
  </si>
  <si>
    <t>Boris Trajkovski</t>
  </si>
  <si>
    <t>MK</t>
  </si>
  <si>
    <t>MLI</t>
  </si>
  <si>
    <t>Mali</t>
  </si>
  <si>
    <t>Alpha Oumar Konaré</t>
  </si>
  <si>
    <t>ML</t>
  </si>
  <si>
    <t>MLT</t>
  </si>
  <si>
    <t>Malta</t>
  </si>
  <si>
    <t>Guido de Marco</t>
  </si>
  <si>
    <t>MT</t>
  </si>
  <si>
    <t>MMR</t>
  </si>
  <si>
    <t>Myanmar</t>
  </si>
  <si>
    <t>Myanma Pye</t>
  </si>
  <si>
    <t>kenraali Than Shwe</t>
  </si>
  <si>
    <t>MM</t>
  </si>
  <si>
    <t>MNG</t>
  </si>
  <si>
    <t>Mongolia</t>
  </si>
  <si>
    <t>Mongol Uls</t>
  </si>
  <si>
    <t>Natsagiin Bagabandi</t>
  </si>
  <si>
    <t>MN</t>
  </si>
  <si>
    <t>MNP</t>
  </si>
  <si>
    <t>Northern Mariana Islands</t>
  </si>
  <si>
    <t>Commonwealth of the US</t>
  </si>
  <si>
    <t>MP</t>
  </si>
  <si>
    <t>MOZ</t>
  </si>
  <si>
    <t>Mozambique</t>
  </si>
  <si>
    <t>Moçambique</t>
  </si>
  <si>
    <t>Joaquím A. Chissano</t>
  </si>
  <si>
    <t>MZ</t>
  </si>
  <si>
    <t>MRT</t>
  </si>
  <si>
    <t>Mauritania</t>
  </si>
  <si>
    <t>Muritaniya/Mauritanie</t>
  </si>
  <si>
    <t>Maaouiya Ould Sid´Ahmad Taya</t>
  </si>
  <si>
    <t>MR</t>
  </si>
  <si>
    <t>MSR</t>
  </si>
  <si>
    <t>Montserrat</t>
  </si>
  <si>
    <t>MS</t>
  </si>
  <si>
    <t>MTQ</t>
  </si>
  <si>
    <t>Martinique</t>
  </si>
  <si>
    <t>MQ</t>
  </si>
  <si>
    <t>MUS</t>
  </si>
  <si>
    <t>Mauritius</t>
  </si>
  <si>
    <t>Cassam Uteem</t>
  </si>
  <si>
    <t>MU</t>
  </si>
  <si>
    <t>MWI</t>
  </si>
  <si>
    <t>Malawi</t>
  </si>
  <si>
    <t>Bakili Muluzi</t>
  </si>
  <si>
    <t>MW</t>
  </si>
  <si>
    <t>MYS</t>
  </si>
  <si>
    <t>Malaysia</t>
  </si>
  <si>
    <t>Salahuddin Abdul Aziz Shah Alhaj</t>
  </si>
  <si>
    <t>MY</t>
  </si>
  <si>
    <t>MYT</t>
  </si>
  <si>
    <t>Mayotte</t>
  </si>
  <si>
    <t>Territorial Collectivity of France</t>
  </si>
  <si>
    <t>YT</t>
  </si>
  <si>
    <t>NAM</t>
  </si>
  <si>
    <t>Namibia</t>
  </si>
  <si>
    <t>Sam Nujoma</t>
  </si>
  <si>
    <t>NA</t>
  </si>
  <si>
    <t>NCL</t>
  </si>
  <si>
    <t>New Caledonia</t>
  </si>
  <si>
    <t>Nouvelle-Calédonie</t>
  </si>
  <si>
    <t>NC</t>
  </si>
  <si>
    <t>NER</t>
  </si>
  <si>
    <t>Niger</t>
  </si>
  <si>
    <t>Mamadou Tandja</t>
  </si>
  <si>
    <t>NE</t>
  </si>
  <si>
    <t>NFK</t>
  </si>
  <si>
    <t>Norfolk Island</t>
  </si>
  <si>
    <t>NF</t>
  </si>
  <si>
    <t>NGA</t>
  </si>
  <si>
    <t>Nigeria</t>
  </si>
  <si>
    <t>Olusegun Obasanjo</t>
  </si>
  <si>
    <t>NG</t>
  </si>
  <si>
    <t>NIC</t>
  </si>
  <si>
    <t>Nicaragua</t>
  </si>
  <si>
    <t>Arnoldo Alemán Lacayo</t>
  </si>
  <si>
    <t>NI</t>
  </si>
  <si>
    <t>NIU</t>
  </si>
  <si>
    <t>Niue</t>
  </si>
  <si>
    <t>NU</t>
  </si>
  <si>
    <t>NLD</t>
  </si>
  <si>
    <t>Netherlands</t>
  </si>
  <si>
    <t>Nederland</t>
  </si>
  <si>
    <t>NL</t>
  </si>
  <si>
    <t>NOR</t>
  </si>
  <si>
    <t>Norway</t>
  </si>
  <si>
    <t>Norge</t>
  </si>
  <si>
    <t>NO</t>
  </si>
  <si>
    <t>NPL</t>
  </si>
  <si>
    <t>Nepal</t>
  </si>
  <si>
    <t>Gyanendra Bir Bikram</t>
  </si>
  <si>
    <t>NP</t>
  </si>
  <si>
    <t>NRU</t>
  </si>
  <si>
    <t>Nauru</t>
  </si>
  <si>
    <t>Naoero/Nauru</t>
  </si>
  <si>
    <t>Bernard Dowiyogo</t>
  </si>
  <si>
    <t>NR</t>
  </si>
  <si>
    <t>NZL</t>
  </si>
  <si>
    <t>New Zealand</t>
  </si>
  <si>
    <t>New Zealand/Aotearoa</t>
  </si>
  <si>
    <t>NZ</t>
  </si>
  <si>
    <t>OMN</t>
  </si>
  <si>
    <t>Oman</t>
  </si>
  <si>
    <t>´Uman</t>
  </si>
  <si>
    <t>Qabus ibn Sa´id</t>
  </si>
  <si>
    <t>OM</t>
  </si>
  <si>
    <t>PAK</t>
  </si>
  <si>
    <t>Pakistan</t>
  </si>
  <si>
    <t>Mohammad Rafiq Tarar</t>
  </si>
  <si>
    <t>PK</t>
  </si>
  <si>
    <t>PAN</t>
  </si>
  <si>
    <t>Panama</t>
  </si>
  <si>
    <t>Panamá</t>
  </si>
  <si>
    <t>Mireya Elisa Moscoso Rodríguez</t>
  </si>
  <si>
    <t>PA</t>
  </si>
  <si>
    <t>PCN</t>
  </si>
  <si>
    <t>Pitcairn</t>
  </si>
  <si>
    <t>PN</t>
  </si>
  <si>
    <t>PER</t>
  </si>
  <si>
    <t>Peru</t>
  </si>
  <si>
    <t>Perú/Piruw</t>
  </si>
  <si>
    <t>Valentin Paniagua Corazao</t>
  </si>
  <si>
    <t>PE</t>
  </si>
  <si>
    <t>PHL</t>
  </si>
  <si>
    <t>Philippines</t>
  </si>
  <si>
    <t>Pilipinas</t>
  </si>
  <si>
    <t>Gloria Macapagal-Arroyo</t>
  </si>
  <si>
    <t>PH</t>
  </si>
  <si>
    <t>PLW</t>
  </si>
  <si>
    <t>Palau</t>
  </si>
  <si>
    <t>Belau/Palau</t>
  </si>
  <si>
    <t>Kuniwo Nakamura</t>
  </si>
  <si>
    <t>PW</t>
  </si>
  <si>
    <t>PNG</t>
  </si>
  <si>
    <t>Papua New Guinea</t>
  </si>
  <si>
    <t>Papua New Guinea/Papua Niugini</t>
  </si>
  <si>
    <t>PG</t>
  </si>
  <si>
    <t>POL</t>
  </si>
  <si>
    <t>Poland</t>
  </si>
  <si>
    <t>Polska</t>
  </si>
  <si>
    <t>Aleksander Kwasniewski</t>
  </si>
  <si>
    <t>PL</t>
  </si>
  <si>
    <t>PRI</t>
  </si>
  <si>
    <t>Puerto Rico</t>
  </si>
  <si>
    <t>PR</t>
  </si>
  <si>
    <t>PRK</t>
  </si>
  <si>
    <t>North Korea</t>
  </si>
  <si>
    <t>Choson Minjujuui In´min Konghwaguk (Bukhan)</t>
  </si>
  <si>
    <t>Kim Jong-il</t>
  </si>
  <si>
    <t>KP</t>
  </si>
  <si>
    <t>PRT</t>
  </si>
  <si>
    <t>Portugal</t>
  </si>
  <si>
    <t>Jorge Sampãio</t>
  </si>
  <si>
    <t>PT</t>
  </si>
  <si>
    <t>PRY</t>
  </si>
  <si>
    <t>Paraguay</t>
  </si>
  <si>
    <t>Luis Ángel González Macchi</t>
  </si>
  <si>
    <t>PY</t>
  </si>
  <si>
    <t>PSE</t>
  </si>
  <si>
    <t>Palestine</t>
  </si>
  <si>
    <t>Filastin</t>
  </si>
  <si>
    <t>Autonomous Area</t>
  </si>
  <si>
    <t>Yasser (Yasir) Arafat</t>
  </si>
  <si>
    <t>PS</t>
  </si>
  <si>
    <t>PYF</t>
  </si>
  <si>
    <t>French Polynesia</t>
  </si>
  <si>
    <t>Polynésie française</t>
  </si>
  <si>
    <t>PF</t>
  </si>
  <si>
    <t>QAT</t>
  </si>
  <si>
    <t>Qatar</t>
  </si>
  <si>
    <t>Hamad ibn Khalifa al-Thani</t>
  </si>
  <si>
    <t>QA</t>
  </si>
  <si>
    <t>REU</t>
  </si>
  <si>
    <t>Réunion</t>
  </si>
  <si>
    <t>RE</t>
  </si>
  <si>
    <t>ROM</t>
  </si>
  <si>
    <t>Romania</t>
  </si>
  <si>
    <t>România</t>
  </si>
  <si>
    <t>Ion Iliescu</t>
  </si>
  <si>
    <t>RO</t>
  </si>
  <si>
    <t>RUS</t>
  </si>
  <si>
    <t>Russian Federation</t>
  </si>
  <si>
    <t>Rossija</t>
  </si>
  <si>
    <t>Vladimir Putin</t>
  </si>
  <si>
    <t>RU</t>
  </si>
  <si>
    <t>RWA</t>
  </si>
  <si>
    <t>Rwanda</t>
  </si>
  <si>
    <t>Rwanda/Urwanda</t>
  </si>
  <si>
    <t>Paul Kagame</t>
  </si>
  <si>
    <t>RW</t>
  </si>
  <si>
    <t>SAU</t>
  </si>
  <si>
    <t>Saudi Arabia</t>
  </si>
  <si>
    <t>Al-´Arabiya as-Sa´udiya</t>
  </si>
  <si>
    <t>Fahd ibn Abdul-Aziz al-Sa´ud</t>
  </si>
  <si>
    <t>SA</t>
  </si>
  <si>
    <t>SDN</t>
  </si>
  <si>
    <t>Sudan</t>
  </si>
  <si>
    <t>As-Sudan</t>
  </si>
  <si>
    <t>Omar Hassan Ahmad al-Bashir</t>
  </si>
  <si>
    <t>SD</t>
  </si>
  <si>
    <t>SEN</t>
  </si>
  <si>
    <t>Senegal</t>
  </si>
  <si>
    <t>Sénégal/Sounougal</t>
  </si>
  <si>
    <t>Abdoulaye Wade</t>
  </si>
  <si>
    <t>SN</t>
  </si>
  <si>
    <t>SGP</t>
  </si>
  <si>
    <t>Singapore/Singapura/Xinjiapo/Singapur</t>
  </si>
  <si>
    <t>Sellapan Rama Nathan</t>
  </si>
  <si>
    <t>SG</t>
  </si>
  <si>
    <t>SGS</t>
  </si>
  <si>
    <t>South Georgia and the South Sandwich Islands</t>
  </si>
  <si>
    <t>GS</t>
  </si>
  <si>
    <t>SHN</t>
  </si>
  <si>
    <t>Saint Helena</t>
  </si>
  <si>
    <t>SH</t>
  </si>
  <si>
    <t>SJM</t>
  </si>
  <si>
    <t>Svalbard and Jan Mayen</t>
  </si>
  <si>
    <t>Svalbard og Jan Mayen</t>
  </si>
  <si>
    <t>SJ</t>
  </si>
  <si>
    <t>SLB</t>
  </si>
  <si>
    <t>Solomon Islands</t>
  </si>
  <si>
    <t>SB</t>
  </si>
  <si>
    <t>SLE</t>
  </si>
  <si>
    <t>Sierra Leone</t>
  </si>
  <si>
    <t>Ahmed Tejan Kabbah</t>
  </si>
  <si>
    <t>SL</t>
  </si>
  <si>
    <t>SLV</t>
  </si>
  <si>
    <t>El Salvador</t>
  </si>
  <si>
    <t>Francisco Guillermo Flores Pérez</t>
  </si>
  <si>
    <t>SV</t>
  </si>
  <si>
    <t>SMR</t>
  </si>
  <si>
    <t>San Marino</t>
  </si>
  <si>
    <t>SM</t>
  </si>
  <si>
    <t>SOM</t>
  </si>
  <si>
    <t>Somalia</t>
  </si>
  <si>
    <t>Soomaaliya</t>
  </si>
  <si>
    <t>Abdiqassim Salad Hassan</t>
  </si>
  <si>
    <t>SO</t>
  </si>
  <si>
    <t>SPM</t>
  </si>
  <si>
    <t>Saint Pierre and Miquelon</t>
  </si>
  <si>
    <t>Saint-Pierre-et-Miquelon</t>
  </si>
  <si>
    <t>PM</t>
  </si>
  <si>
    <t>STP</t>
  </si>
  <si>
    <t>Sao Tome and Principe</t>
  </si>
  <si>
    <t>São Tomé e Príncipe</t>
  </si>
  <si>
    <t>Miguel Trovoada</t>
  </si>
  <si>
    <t>ST</t>
  </si>
  <si>
    <t>SUR</t>
  </si>
  <si>
    <t>Suriname</t>
  </si>
  <si>
    <t>Ronald Venetiaan</t>
  </si>
  <si>
    <t>SR</t>
  </si>
  <si>
    <t>SVK</t>
  </si>
  <si>
    <t>Slovakia</t>
  </si>
  <si>
    <t>Slovensko</t>
  </si>
  <si>
    <t>Rudolf Schuster</t>
  </si>
  <si>
    <t>SK</t>
  </si>
  <si>
    <t>SVN</t>
  </si>
  <si>
    <t>Slovenia</t>
  </si>
  <si>
    <t>Slovenija</t>
  </si>
  <si>
    <t>Milan Kucan</t>
  </si>
  <si>
    <t>SI</t>
  </si>
  <si>
    <t>SWE</t>
  </si>
  <si>
    <t>Sweden</t>
  </si>
  <si>
    <t>Sverige</t>
  </si>
  <si>
    <t>Carl XVI Gustaf</t>
  </si>
  <si>
    <t>SE</t>
  </si>
  <si>
    <t>SWZ</t>
  </si>
  <si>
    <t>Swaziland</t>
  </si>
  <si>
    <t>kaNgwane</t>
  </si>
  <si>
    <t>Mswati III</t>
  </si>
  <si>
    <t>SZ</t>
  </si>
  <si>
    <t>SYC</t>
  </si>
  <si>
    <t>Seychelles</t>
  </si>
  <si>
    <t>Sesel/Seychelles</t>
  </si>
  <si>
    <t>France-Albert René</t>
  </si>
  <si>
    <t>SC</t>
  </si>
  <si>
    <t>SYR</t>
  </si>
  <si>
    <t>Syria</t>
  </si>
  <si>
    <t>Suriya</t>
  </si>
  <si>
    <t>Bashar al-Assad</t>
  </si>
  <si>
    <t>SY</t>
  </si>
  <si>
    <t>TCA</t>
  </si>
  <si>
    <t>Turks and Caicos Islands</t>
  </si>
  <si>
    <t>The Turks and Caicos Islands</t>
  </si>
  <si>
    <t>TC</t>
  </si>
  <si>
    <t>TCD</t>
  </si>
  <si>
    <t>Chad</t>
  </si>
  <si>
    <t>Tchad/Tshad</t>
  </si>
  <si>
    <t>Idriss Déby</t>
  </si>
  <si>
    <t>TD</t>
  </si>
  <si>
    <t>TGO</t>
  </si>
  <si>
    <t>Togo</t>
  </si>
  <si>
    <t>Gnassingbé Eyadéma</t>
  </si>
  <si>
    <t>TG</t>
  </si>
  <si>
    <t>THA</t>
  </si>
  <si>
    <t>Thailand</t>
  </si>
  <si>
    <t>Prathet Thai</t>
  </si>
  <si>
    <t>Bhumibol Adulyadej</t>
  </si>
  <si>
    <t>TH</t>
  </si>
  <si>
    <t>TJK</t>
  </si>
  <si>
    <t>Tajikistan</t>
  </si>
  <si>
    <t>Toçikiston</t>
  </si>
  <si>
    <t>Emomali Rahmonov</t>
  </si>
  <si>
    <t>TJ</t>
  </si>
  <si>
    <t>TKL</t>
  </si>
  <si>
    <t>Tokelau</t>
  </si>
  <si>
    <t>TK</t>
  </si>
  <si>
    <t>TKM</t>
  </si>
  <si>
    <t>Turkmenistan</t>
  </si>
  <si>
    <t>Türkmenostan</t>
  </si>
  <si>
    <t>Saparmurad Nijazov</t>
  </si>
  <si>
    <t>TM</t>
  </si>
  <si>
    <t>TMP</t>
  </si>
  <si>
    <t>East Timor</t>
  </si>
  <si>
    <t>Timor Timur</t>
  </si>
  <si>
    <t>Administrated by the UN</t>
  </si>
  <si>
    <t>José Alexandre Gusmão</t>
  </si>
  <si>
    <t>TP</t>
  </si>
  <si>
    <t>TON</t>
  </si>
  <si>
    <t>Tonga</t>
  </si>
  <si>
    <t>Taufa'ahau Tupou IV</t>
  </si>
  <si>
    <t>TO</t>
  </si>
  <si>
    <t>TTO</t>
  </si>
  <si>
    <t>Trinidad and Tobago</t>
  </si>
  <si>
    <t>Arthur N. R. Robinson</t>
  </si>
  <si>
    <t>TT</t>
  </si>
  <si>
    <t>TUN</t>
  </si>
  <si>
    <t>Tunisia</t>
  </si>
  <si>
    <t>Tunis/Tunisie</t>
  </si>
  <si>
    <t>Zine al-Abidine Ben Ali</t>
  </si>
  <si>
    <t>TN</t>
  </si>
  <si>
    <t>TUR</t>
  </si>
  <si>
    <t>Turkey</t>
  </si>
  <si>
    <t>Türkiye</t>
  </si>
  <si>
    <t>Ahmet Necdet Sezer</t>
  </si>
  <si>
    <t>TR</t>
  </si>
  <si>
    <t>TUV</t>
  </si>
  <si>
    <t>Tuvalu</t>
  </si>
  <si>
    <t>TV</t>
  </si>
  <si>
    <t>TWN</t>
  </si>
  <si>
    <t>Taiwan</t>
  </si>
  <si>
    <t>T’ai-wan</t>
  </si>
  <si>
    <t>Chen Shui-bian</t>
  </si>
  <si>
    <t>TW</t>
  </si>
  <si>
    <t>TZA</t>
  </si>
  <si>
    <t>Tanzania</t>
  </si>
  <si>
    <t>Benjamin William Mkapa</t>
  </si>
  <si>
    <t>TZ</t>
  </si>
  <si>
    <t>UGA</t>
  </si>
  <si>
    <t>Uganda</t>
  </si>
  <si>
    <t>Yoweri Museveni</t>
  </si>
  <si>
    <t>UG</t>
  </si>
  <si>
    <t>UKR</t>
  </si>
  <si>
    <t>Ukraine</t>
  </si>
  <si>
    <t>Ukrajina</t>
  </si>
  <si>
    <t>Leonid Kutšma</t>
  </si>
  <si>
    <t>UA</t>
  </si>
  <si>
    <t>UMI</t>
  </si>
  <si>
    <t>United States Minor Outlying Islands</t>
  </si>
  <si>
    <t>Micronesia/Caribbean</t>
  </si>
  <si>
    <t>Dependent Territory of the US</t>
  </si>
  <si>
    <t>UM</t>
  </si>
  <si>
    <t>URY</t>
  </si>
  <si>
    <t>Uruguay</t>
  </si>
  <si>
    <t>Jorge Batlle Ibáñez</t>
  </si>
  <si>
    <t>UY</t>
  </si>
  <si>
    <t>United States</t>
  </si>
  <si>
    <t>US</t>
  </si>
  <si>
    <t>UZB</t>
  </si>
  <si>
    <t>Uzbekistan</t>
  </si>
  <si>
    <t>Uzbekiston</t>
  </si>
  <si>
    <t>Islam Karimov</t>
  </si>
  <si>
    <t>UZ</t>
  </si>
  <si>
    <t>VAT</t>
  </si>
  <si>
    <t>Holy See (Vatican City State)</t>
  </si>
  <si>
    <t>Santa Sede/Città del Vaticano</t>
  </si>
  <si>
    <t>Independent Church State</t>
  </si>
  <si>
    <t>Johannes Paavali II</t>
  </si>
  <si>
    <t>VA</t>
  </si>
  <si>
    <t>VCT</t>
  </si>
  <si>
    <t>Saint Vincent and the Grenadines</t>
  </si>
  <si>
    <t>VC</t>
  </si>
  <si>
    <t>VEN</t>
  </si>
  <si>
    <t>Venezuela</t>
  </si>
  <si>
    <t>Hugo Chávez Frías</t>
  </si>
  <si>
    <t>VE</t>
  </si>
  <si>
    <t>VGB</t>
  </si>
  <si>
    <t>Virgin Islands, British</t>
  </si>
  <si>
    <t>British Virgin Islands</t>
  </si>
  <si>
    <t>VG</t>
  </si>
  <si>
    <t>VIR</t>
  </si>
  <si>
    <t>Virgin Islands, U.S.</t>
  </si>
  <si>
    <t>Virgin Islands of the United States</t>
  </si>
  <si>
    <t>VI</t>
  </si>
  <si>
    <t>VNM</t>
  </si>
  <si>
    <t>Vietnam</t>
  </si>
  <si>
    <t>Viêt Nam</t>
  </si>
  <si>
    <t>Trân Duc Luong</t>
  </si>
  <si>
    <t>VN</t>
  </si>
  <si>
    <t>VUT</t>
  </si>
  <si>
    <t>Vanuatu</t>
  </si>
  <si>
    <t>John Bani</t>
  </si>
  <si>
    <t>VU</t>
  </si>
  <si>
    <t>WLF</t>
  </si>
  <si>
    <t>Wallis and Futuna</t>
  </si>
  <si>
    <t>Wallis-et-Futuna</t>
  </si>
  <si>
    <t>WF</t>
  </si>
  <si>
    <t>WSM</t>
  </si>
  <si>
    <t>Samoa</t>
  </si>
  <si>
    <t>Parlementary Monarchy</t>
  </si>
  <si>
    <t>Malietoa Tanumafili II</t>
  </si>
  <si>
    <t>WS</t>
  </si>
  <si>
    <t>YEM</t>
  </si>
  <si>
    <t>Yemen</t>
  </si>
  <si>
    <t>Al-Yaman</t>
  </si>
  <si>
    <t>Ali Abdallah Salih</t>
  </si>
  <si>
    <t>YE</t>
  </si>
  <si>
    <t>YUG</t>
  </si>
  <si>
    <t>Yugoslavia</t>
  </si>
  <si>
    <t>Jugoslavija</t>
  </si>
  <si>
    <t>Vojislav Koštunica</t>
  </si>
  <si>
    <t>YU</t>
  </si>
  <si>
    <t>ZAF</t>
  </si>
  <si>
    <t>South Africa</t>
  </si>
  <si>
    <t>Thabo Mbeki</t>
  </si>
  <si>
    <t>ZA</t>
  </si>
  <si>
    <t>ZMB</t>
  </si>
  <si>
    <t>Zambia</t>
  </si>
  <si>
    <t>Frederick Chiluba</t>
  </si>
  <si>
    <t>ZM</t>
  </si>
  <si>
    <t>ZWE</t>
  </si>
  <si>
    <t>Zimbabwe</t>
  </si>
  <si>
    <t>Robert G. Mugabe</t>
  </si>
  <si>
    <t>ZW</t>
  </si>
  <si>
    <t>No</t>
  </si>
  <si>
    <t>Took office</t>
  </si>
  <si>
    <t>Left office</t>
  </si>
  <si>
    <t>Note</t>
  </si>
  <si>
    <t>1</t>
  </si>
  <si>
    <t>Robert Guérin</t>
  </si>
  <si>
    <t>4 June 1906</t>
  </si>
  <si>
    <t>2</t>
  </si>
  <si>
    <t>Daniel Burley Woolfall</t>
  </si>
  <si>
    <t>England</t>
  </si>
  <si>
    <t>24 October 1918</t>
  </si>
  <si>
    <t>Died in office</t>
  </si>
  <si>
    <t>—</t>
  </si>
  <si>
    <t>Cornelis August Wilhelm Hirschman</t>
  </si>
  <si>
    <t>1920</t>
  </si>
  <si>
    <t>Acting</t>
  </si>
  <si>
    <t>3</t>
  </si>
  <si>
    <t>Jules Rimet</t>
  </si>
  <si>
    <t>21 June 1954</t>
  </si>
  <si>
    <t>4</t>
  </si>
  <si>
    <t>Rodolphe Seeldrayers</t>
  </si>
  <si>
    <t>7 October 1955</t>
  </si>
  <si>
    <t>5</t>
  </si>
  <si>
    <t>Arthur Drewry</t>
  </si>
  <si>
    <t>25 March 1961</t>
  </si>
  <si>
    <t>Ernst Thommen</t>
  </si>
  <si>
    <t>28 September 1961</t>
  </si>
  <si>
    <t>6</t>
  </si>
  <si>
    <t>Stanley Rous</t>
  </si>
  <si>
    <t>8 May 1974</t>
  </si>
  <si>
    <t>7</t>
  </si>
  <si>
    <t>João Havelange</t>
  </si>
  <si>
    <t>8 June 1998</t>
  </si>
  <si>
    <t>8</t>
  </si>
  <si>
    <t>Sepp Blatter</t>
  </si>
  <si>
    <t>8 October 2015</t>
  </si>
  <si>
    <t>Expelled</t>
  </si>
  <si>
    <t>Issa Hayatou</t>
  </si>
  <si>
    <t>26 February 2016</t>
  </si>
  <si>
    <t>9</t>
  </si>
  <si>
    <t>Gianni Infantino</t>
  </si>
  <si>
    <t>Italy    Switzerland</t>
  </si>
  <si>
    <t>Incumbent</t>
  </si>
  <si>
    <t>CategoryID</t>
  </si>
  <si>
    <t>CategoryName</t>
  </si>
  <si>
    <t>Electronics</t>
  </si>
  <si>
    <t>Furniture</t>
  </si>
  <si>
    <t>Clothing</t>
  </si>
  <si>
    <t>Toys</t>
  </si>
  <si>
    <t>Decorative</t>
  </si>
  <si>
    <t>CustomerID</t>
  </si>
  <si>
    <t>Alice</t>
  </si>
  <si>
    <t>North</t>
  </si>
  <si>
    <t>Bob</t>
  </si>
  <si>
    <t>South</t>
  </si>
  <si>
    <t>Charlie</t>
  </si>
  <si>
    <t>East</t>
  </si>
  <si>
    <t>John</t>
  </si>
  <si>
    <t>West</t>
  </si>
  <si>
    <t>Devid</t>
  </si>
  <si>
    <t>ProductID</t>
  </si>
  <si>
    <t>ProductName</t>
  </si>
  <si>
    <t>Laptop</t>
  </si>
  <si>
    <t>Table</t>
  </si>
  <si>
    <t>Shirt</t>
  </si>
  <si>
    <t>Smartphone</t>
  </si>
  <si>
    <t>Toy-1</t>
  </si>
  <si>
    <t>Toy-2</t>
  </si>
  <si>
    <t>Flower pot</t>
  </si>
  <si>
    <t>Desk</t>
  </si>
  <si>
    <t>SaleID</t>
  </si>
  <si>
    <t>Quantity</t>
  </si>
  <si>
    <t>TotalAmount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</si>
</sst>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color rgb="FFFFFFFF"/>
      <name val="Calibri"/>
    </font>
    <font>
      <sz val="11"/>
      <name val="Aptos Narrow"/>
      <scheme val="minor"/>
    </font>
    <font>
      <b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  <xf numFmtId="3" fontId="2" fillId="0" borderId="0" xfId="0" applyNumberFormat="1" applyFont="1" applyAlignment="1">
      <alignment vertical="top"/>
    </xf>
    <xf numFmtId="3" fontId="0" fillId="0" borderId="0" xfId="0" applyNumberFormat="1"/>
    <xf numFmtId="0" fontId="3" fillId="0" borderId="0" xfId="0" applyFont="1"/>
    <xf numFmtId="0" fontId="0" fillId="0" borderId="0" xfId="0" applyFill="1" applyBorder="1" applyAlignment="1"/>
    <xf numFmtId="0" fontId="0" fillId="0" borderId="1" xfId="0" applyFill="1" applyBorder="1" applyAlignment="1"/>
    <xf numFmtId="0" fontId="4" fillId="0" borderId="2" xfId="0" applyFont="1" applyFill="1" applyBorder="1" applyAlignment="1">
      <alignment horizontal="center"/>
    </xf>
    <xf numFmtId="0" fontId="4" fillId="0" borderId="2" xfId="0" applyFont="1" applyFill="1" applyBorder="1" applyAlignment="1">
      <alignment horizontal="centerContinuous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1.xml"/><Relationship Id="rId26" Type="http://schemas.openxmlformats.org/officeDocument/2006/relationships/customXml" Target="../customXml/item9.xml"/><Relationship Id="rId21" Type="http://schemas.openxmlformats.org/officeDocument/2006/relationships/customXml" Target="../customXml/item4.xml"/><Relationship Id="rId34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17" Type="http://schemas.openxmlformats.org/officeDocument/2006/relationships/calcChain" Target="calcChain.xml"/><Relationship Id="rId25" Type="http://schemas.openxmlformats.org/officeDocument/2006/relationships/customXml" Target="../customXml/item8.xml"/><Relationship Id="rId33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29" Type="http://schemas.openxmlformats.org/officeDocument/2006/relationships/customXml" Target="../customXml/item1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24" Type="http://schemas.openxmlformats.org/officeDocument/2006/relationships/customXml" Target="../customXml/item7.xml"/><Relationship Id="rId32" Type="http://schemas.openxmlformats.org/officeDocument/2006/relationships/customXml" Target="../customXml/item15.xml"/><Relationship Id="rId37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23" Type="http://schemas.openxmlformats.org/officeDocument/2006/relationships/customXml" Target="../customXml/item6.xml"/><Relationship Id="rId28" Type="http://schemas.openxmlformats.org/officeDocument/2006/relationships/customXml" Target="../customXml/item11.xml"/><Relationship Id="rId36" Type="http://schemas.openxmlformats.org/officeDocument/2006/relationships/customXml" Target="../customXml/item19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31" Type="http://schemas.openxmlformats.org/officeDocument/2006/relationships/customXml" Target="../customXml/item1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5.xml"/><Relationship Id="rId27" Type="http://schemas.openxmlformats.org/officeDocument/2006/relationships/customXml" Target="../customXml/item10.xml"/><Relationship Id="rId30" Type="http://schemas.openxmlformats.org/officeDocument/2006/relationships/customXml" Target="../customXml/item13.xml"/><Relationship Id="rId35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0" xr16:uid="{5E9038E0-C28F-48E3-9BA5-9055B9D37510}" autoFormatId="16" applyNumberFormats="0" applyBorderFormats="0" applyFontFormats="0" applyPatternFormats="0" applyAlignmentFormats="0" applyWidthHeightFormats="0">
  <queryTableRefresh nextId="16">
    <queryTableFields count="15">
      <queryTableField id="1" name="Code" tableColumnId="1"/>
      <queryTableField id="2" name="Name" tableColumnId="2"/>
      <queryTableField id="3" name="Continent" tableColumnId="3"/>
      <queryTableField id="4" name="Region" tableColumnId="4"/>
      <queryTableField id="5" name="SurfaceArea" tableColumnId="5"/>
      <queryTableField id="6" name="IndepYear" tableColumnId="6"/>
      <queryTableField id="7" name="Population" tableColumnId="7"/>
      <queryTableField id="8" name="LifeExpectancy" tableColumnId="8"/>
      <queryTableField id="9" name="GNP" tableColumnId="9"/>
      <queryTableField id="10" name="GNPOld" tableColumnId="10"/>
      <queryTableField id="11" name="LocalName" tableColumnId="11"/>
      <queryTableField id="12" name="GovernmentForm" tableColumnId="12"/>
      <queryTableField id="13" name="HeadOfState" tableColumnId="13"/>
      <queryTableField id="14" name="Capital" tableColumnId="14"/>
      <queryTableField id="15" name="Code2" tableColumnId="1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9" xr16:uid="{744A0D88-F072-4B9B-A0ED-71C8CEF438AB}" autoFormatId="16" applyNumberFormats="0" applyBorderFormats="0" applyFontFormats="0" applyPatternFormats="0" applyAlignmentFormats="0" applyWidthHeightFormats="0">
  <queryTableRefresh nextId="7">
    <queryTableFields count="6">
      <queryTableField id="1" name="No" tableColumnId="1"/>
      <queryTableField id="2" name="Name" tableColumnId="2"/>
      <queryTableField id="3" name="Country" tableColumnId="3"/>
      <queryTableField id="4" name="Took office" tableColumnId="4"/>
      <queryTableField id="5" name="Left office" tableColumnId="5"/>
      <queryTableField id="6" name="Note" tableColumnId="6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C417C47B-B055-4D0C-BEDD-A8DB3161F721}" autoFormatId="16" applyNumberFormats="0" applyBorderFormats="0" applyFontFormats="0" applyPatternFormats="0" applyAlignmentFormats="0" applyWidthHeightFormats="0">
  <queryTableRefresh nextId="3">
    <queryTableFields count="2">
      <queryTableField id="1" name="CategoryID" tableColumnId="1"/>
      <queryTableField id="2" name="CategoryName" tableColumnId="2"/>
    </queryTableFields>
  </queryTableRefresh>
  <extLst>
    <ext xmlns:x15="http://schemas.microsoft.com/office/spreadsheetml/2010/11/main" uri="{883FBD77-0823-4a55-B5E3-86C4891E6966}">
      <x15:queryTable sourceDataName="Query - DimCategory"/>
    </ext>
  </extLst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20ED0418-8749-437A-AAC6-7AD884FB5DB0}" autoFormatId="16" applyNumberFormats="0" applyBorderFormats="0" applyFontFormats="0" applyPatternFormats="0" applyAlignmentFormats="0" applyWidthHeightFormats="0">
  <queryTableRefresh nextId="4">
    <queryTableFields count="3">
      <queryTableField id="1" name="CustomerID" tableColumnId="1"/>
      <queryTableField id="2" name="CustomerName" tableColumnId="2"/>
      <queryTableField id="3" name="Region" tableColumnId="3"/>
    </queryTableFields>
  </queryTableRefresh>
  <extLst>
    <ext xmlns:x15="http://schemas.microsoft.com/office/spreadsheetml/2010/11/main" uri="{883FBD77-0823-4a55-B5E3-86C4891E6966}">
      <x15:queryTable sourceDataName="Query - DimCustomer"/>
    </ext>
  </extLst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3" xr16:uid="{91209A9C-EA1B-4BA4-8C7C-BD69AEB51484}" autoFormatId="16" applyNumberFormats="0" applyBorderFormats="0" applyFontFormats="0" applyPatternFormats="0" applyAlignmentFormats="0" applyWidthHeightFormats="0">
  <queryTableRefresh nextId="4">
    <queryTableFields count="3">
      <queryTableField id="1" name="ProductID" tableColumnId="1"/>
      <queryTableField id="2" name="ProductName" tableColumnId="2"/>
      <queryTableField id="3" name="CategoryID" tableColumnId="3"/>
    </queryTableFields>
  </queryTableRefresh>
  <extLst>
    <ext xmlns:x15="http://schemas.microsoft.com/office/spreadsheetml/2010/11/main" uri="{883FBD77-0823-4a55-B5E3-86C4891E6966}">
      <x15:queryTable sourceDataName="Query - DimProduct"/>
    </ext>
  </extLst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4" xr16:uid="{8F35DEB3-ED5D-4A41-BB52-BEC07270C8DB}" autoFormatId="16" applyNumberFormats="0" applyBorderFormats="0" applyFontFormats="0" applyPatternFormats="0" applyAlignmentFormats="0" applyWidthHeightFormats="0">
  <queryTableRefresh nextId="6">
    <queryTableFields count="5">
      <queryTableField id="1" name="SaleID" tableColumnId="1"/>
      <queryTableField id="2" name="CustomerID" tableColumnId="2"/>
      <queryTableField id="3" name="ProductID" tableColumnId="3"/>
      <queryTableField id="4" name="Quantity" tableColumnId="4"/>
      <queryTableField id="5" name="TotalAmount" tableColumnId="5"/>
    </queryTableFields>
  </queryTableRefresh>
  <extLst>
    <ext xmlns:x15="http://schemas.microsoft.com/office/spreadsheetml/2010/11/main" uri="{883FBD77-0823-4a55-B5E3-86C4891E6966}">
      <x15:queryTable sourceDataName="Query - FactSales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8DBB5E4-FDFE-471F-B33E-B1FC798CD99F}" name="world_country" displayName="world_country" ref="A1:O240" tableType="queryTable" totalsRowShown="0">
  <autoFilter ref="A1:O240" xr:uid="{38DBB5E4-FDFE-471F-B33E-B1FC798CD99F}"/>
  <tableColumns count="15">
    <tableColumn id="1" xr3:uid="{C2668036-A23D-418E-A23F-C9F5DECE5D36}" uniqueName="1" name="Code" queryTableFieldId="1" dataDxfId="17"/>
    <tableColumn id="2" xr3:uid="{4CA3D8EB-9E85-450D-917F-87562AA2B00C}" uniqueName="2" name="Name" queryTableFieldId="2" dataDxfId="16"/>
    <tableColumn id="3" xr3:uid="{D63D9E72-D610-4DEE-9176-6D7C89CF0F34}" uniqueName="3" name="Continent" queryTableFieldId="3" dataDxfId="15"/>
    <tableColumn id="4" xr3:uid="{6B1FBAF4-A7CA-4E67-A7DE-E90CFBF5F185}" uniqueName="4" name="Region" queryTableFieldId="4" dataDxfId="14"/>
    <tableColumn id="5" xr3:uid="{10DD33D5-F952-499B-A158-B23A7F1808A8}" uniqueName="5" name="SurfaceArea" queryTableFieldId="5"/>
    <tableColumn id="6" xr3:uid="{2D8B7183-0650-4C20-9D7E-C130D9447A06}" uniqueName="6" name="IndepYear" queryTableFieldId="6"/>
    <tableColumn id="7" xr3:uid="{5B6607EB-C875-4E8E-A4DE-788A85D75DA6}" uniqueName="7" name="Population" queryTableFieldId="7"/>
    <tableColumn id="8" xr3:uid="{18ACB4E9-E87D-43CB-B0A6-485008C43DFF}" uniqueName="8" name="LifeExpectancy" queryTableFieldId="8"/>
    <tableColumn id="9" xr3:uid="{33A7CE5C-394D-4A71-8C20-D64B4043ABD5}" uniqueName="9" name="GNP" queryTableFieldId="9"/>
    <tableColumn id="10" xr3:uid="{3E1807A1-AF24-4138-8F45-682E89A73BF3}" uniqueName="10" name="GNPOld" queryTableFieldId="10"/>
    <tableColumn id="11" xr3:uid="{B492CE1B-536D-4CE5-B55C-3A17518E11BF}" uniqueName="11" name="LocalName" queryTableFieldId="11" dataDxfId="13"/>
    <tableColumn id="12" xr3:uid="{F26C0BEB-8395-4F0C-ABB5-7B11D5AAC1C9}" uniqueName="12" name="GovernmentForm" queryTableFieldId="12" dataDxfId="12"/>
    <tableColumn id="13" xr3:uid="{0AC59435-5E16-451E-A2E2-6BCDE2BE07C5}" uniqueName="13" name="HeadOfState" queryTableFieldId="13" dataDxfId="11"/>
    <tableColumn id="14" xr3:uid="{CDD63811-20CC-4689-A59E-C8AF4159E7E5}" uniqueName="14" name="Capital" queryTableFieldId="14"/>
    <tableColumn id="15" xr3:uid="{42931A9D-406D-4E63-9DC2-7235FBC1798B}" uniqueName="15" name="Code2" queryTableFieldId="15" dataDxfId="1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57656B-3C1A-4EDA-B328-FFE6048A586A}" name="Table_1" displayName="Table_1" ref="A1:F13" tableType="queryTable" totalsRowShown="0">
  <autoFilter ref="A1:F13" xr:uid="{BD57656B-3C1A-4EDA-B328-FFE6048A586A}"/>
  <tableColumns count="6">
    <tableColumn id="1" xr3:uid="{ED77E491-9060-4FB3-8F60-F0577CE9BE4D}" uniqueName="1" name="No" queryTableFieldId="1" dataDxfId="9"/>
    <tableColumn id="2" xr3:uid="{4E8C873A-CB9E-4D03-BCA0-4E4427E20FEA}" uniqueName="2" name="Name" queryTableFieldId="2" dataDxfId="8"/>
    <tableColumn id="3" xr3:uid="{14F0DD08-5B33-45B9-88A7-D1F30AEE5412}" uniqueName="3" name="Country" queryTableFieldId="3" dataDxfId="7"/>
    <tableColumn id="4" xr3:uid="{B109ABE8-5B91-4D6A-91CF-18BF45FCA55C}" uniqueName="4" name="Took office" queryTableFieldId="4" dataDxfId="6"/>
    <tableColumn id="5" xr3:uid="{1B853467-211B-423D-8D22-143DF470FDA6}" uniqueName="5" name="Left office" queryTableFieldId="5" dataDxfId="5"/>
    <tableColumn id="6" xr3:uid="{0A5E5610-A0B4-4428-B891-2964985D6D01}" uniqueName="6" name="Note" queryTableFieldId="6" dataDxfId="4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02D5F18-53BC-489A-95D5-E9F781DDD2F1}" name="DimCategory" displayName="DimCategory" ref="A1:B6" tableType="queryTable" totalsRowShown="0">
  <autoFilter ref="A1:B6" xr:uid="{402D5F18-53BC-489A-95D5-E9F781DDD2F1}"/>
  <tableColumns count="2">
    <tableColumn id="1" xr3:uid="{1AE2C942-D12E-4003-A513-7ACCF2F93277}" uniqueName="1" name="CategoryID" queryTableFieldId="1"/>
    <tableColumn id="2" xr3:uid="{6DA88092-F06D-4B73-8CFA-67F3578E051F}" uniqueName="2" name="CategoryName" queryTableFieldId="2" dataDxf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50679453-E82A-48DB-9291-A8BB5F46AD0B}" name="DimCustomer" displayName="DimCustomer" ref="A1:C6" tableType="queryTable" totalsRowShown="0">
  <autoFilter ref="A1:C6" xr:uid="{50679453-E82A-48DB-9291-A8BB5F46AD0B}"/>
  <tableColumns count="3">
    <tableColumn id="1" xr3:uid="{9EDF605B-C0B5-49E7-865F-E5DA6B3BBD17}" uniqueName="1" name="CustomerID" queryTableFieldId="1"/>
    <tableColumn id="2" xr3:uid="{9FB2C138-48BB-408D-B07C-01C7E1BD3550}" uniqueName="2" name="CustomerName" queryTableFieldId="2" dataDxfId="2"/>
    <tableColumn id="3" xr3:uid="{58B47049-E55D-4866-9F5B-E01E0D403870}" uniqueName="3" name="Region" queryTableFieldId="3" dataDxfId="1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E052178-09E6-4D3F-B399-35C6346278C7}" name="DimProduct" displayName="DimProduct" ref="A1:C9" tableType="queryTable" totalsRowShown="0">
  <autoFilter ref="A1:C9" xr:uid="{DE052178-09E6-4D3F-B399-35C6346278C7}"/>
  <tableColumns count="3">
    <tableColumn id="1" xr3:uid="{19B06BEF-5AEF-442A-ADF7-CEE1DEADAF05}" uniqueName="1" name="ProductID" queryTableFieldId="1"/>
    <tableColumn id="2" xr3:uid="{C206BACC-0959-4B44-B8CD-3266841E6913}" uniqueName="2" name="ProductName" queryTableFieldId="2" dataDxfId="0"/>
    <tableColumn id="3" xr3:uid="{9BB23E0C-59D5-4D2B-95B0-AA3F36D06CEF}" uniqueName="3" name="CategoryID" queryTableFieldId="3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F8AB6A3A-D118-49E0-B2A4-DAB130D43523}" name="FactSales" displayName="FactSales" ref="A1:E10" tableType="queryTable" totalsRowShown="0">
  <autoFilter ref="A1:E10" xr:uid="{F8AB6A3A-D118-49E0-B2A4-DAB130D43523}"/>
  <tableColumns count="5">
    <tableColumn id="1" xr3:uid="{648F8D82-26E5-4CCC-8EB5-E9116CE7B6A3}" uniqueName="1" name="SaleID" queryTableFieldId="1"/>
    <tableColumn id="2" xr3:uid="{E0FEE86B-A4B2-4E63-AA56-5AC3E440DE96}" uniqueName="2" name="CustomerID" queryTableFieldId="2"/>
    <tableColumn id="3" xr3:uid="{CD7F61F7-BEE3-4051-97CF-DE35EC11C820}" uniqueName="3" name="ProductID" queryTableFieldId="3"/>
    <tableColumn id="4" xr3:uid="{8F395CA2-BA57-462D-BB9B-43C35285B813}" uniqueName="4" name="Quantity" queryTableFieldId="4"/>
    <tableColumn id="5" xr3:uid="{80288E13-7C9D-4378-99B6-70EB92EE7149}" uniqueName="5" name="Total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A8DE6-4188-425B-BBA8-920CB3879DAE}">
  <dimension ref="A1:M31"/>
  <sheetViews>
    <sheetView workbookViewId="0">
      <selection activeCell="C1" sqref="C1:H19"/>
    </sheetView>
  </sheetViews>
  <sheetFormatPr defaultRowHeight="15.6" x14ac:dyDescent="0.3"/>
  <cols>
    <col min="1" max="1" width="15.5" bestFit="1" customWidth="1"/>
    <col min="2" max="2" width="8.8984375" bestFit="1" customWidth="1"/>
    <col min="3" max="3" width="10.09765625" bestFit="1" customWidth="1"/>
    <col min="4" max="4" width="12.19921875" bestFit="1" customWidth="1"/>
    <col min="5" max="5" width="11.796875" bestFit="1" customWidth="1"/>
    <col min="6" max="6" width="10.59765625" bestFit="1" customWidth="1"/>
    <col min="7" max="7" width="10.09765625" bestFit="1" customWidth="1"/>
    <col min="8" max="8" width="13" bestFit="1" customWidth="1"/>
    <col min="9" max="9" width="9.5" bestFit="1" customWidth="1"/>
    <col min="10" max="10" width="11.796875" bestFit="1" customWidth="1"/>
    <col min="13" max="13" width="10.5" bestFit="1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3" x14ac:dyDescent="0.3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>
        <v>955.8</v>
      </c>
      <c r="H2" s="3">
        <f t="shared" ref="H2:H18" si="0">G2*VLOOKUP(F2,{"USD",1;"EUR",1.08;"GBP",1.27;"JPY",0.0067;"CNY",0.14;"INR",0.012},2,FALSE)</f>
        <v>1032.2640000000001</v>
      </c>
      <c r="I2" s="3">
        <v>240457.01</v>
      </c>
      <c r="J2">
        <f>G2*I2</f>
        <v>229828810.15799999</v>
      </c>
    </row>
    <row r="3" spans="1:13" x14ac:dyDescent="0.3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3">
        <v>12.41</v>
      </c>
      <c r="H3" s="3">
        <f t="shared" si="0"/>
        <v>12.41</v>
      </c>
      <c r="I3" s="3">
        <v>109657.63</v>
      </c>
      <c r="J3">
        <f t="shared" ref="J3:J19" si="1">G3*I3</f>
        <v>1360851.1883</v>
      </c>
    </row>
    <row r="4" spans="1:13" x14ac:dyDescent="0.3">
      <c r="A4" s="2" t="s">
        <v>21</v>
      </c>
      <c r="B4" s="2" t="s">
        <v>22</v>
      </c>
      <c r="C4" s="2" t="s">
        <v>23</v>
      </c>
      <c r="D4" s="2" t="s">
        <v>12</v>
      </c>
      <c r="E4" s="2" t="s">
        <v>13</v>
      </c>
      <c r="F4" s="2" t="s">
        <v>20</v>
      </c>
      <c r="G4" s="3">
        <v>1842.59</v>
      </c>
      <c r="H4" s="3">
        <f t="shared" si="0"/>
        <v>1842.59</v>
      </c>
      <c r="I4" s="3">
        <v>438961.01</v>
      </c>
      <c r="J4">
        <f t="shared" si="1"/>
        <v>808825167.41589999</v>
      </c>
    </row>
    <row r="5" spans="1:13" x14ac:dyDescent="0.3">
      <c r="A5" s="2" t="s">
        <v>24</v>
      </c>
      <c r="B5" s="2" t="s">
        <v>25</v>
      </c>
      <c r="C5" s="2" t="s">
        <v>26</v>
      </c>
      <c r="D5" s="2" t="s">
        <v>12</v>
      </c>
      <c r="E5" s="2" t="s">
        <v>27</v>
      </c>
      <c r="F5" s="2" t="s">
        <v>14</v>
      </c>
      <c r="G5" s="3">
        <v>522.01</v>
      </c>
      <c r="H5" s="3">
        <f t="shared" si="0"/>
        <v>563.77080000000001</v>
      </c>
      <c r="I5" s="3">
        <v>245250.85</v>
      </c>
      <c r="J5">
        <f t="shared" si="1"/>
        <v>128023396.2085</v>
      </c>
    </row>
    <row r="6" spans="1:13" x14ac:dyDescent="0.3">
      <c r="A6" s="2" t="s">
        <v>28</v>
      </c>
      <c r="B6" s="2" t="s">
        <v>25</v>
      </c>
      <c r="C6" s="2" t="s">
        <v>26</v>
      </c>
      <c r="D6" s="2" t="s">
        <v>37</v>
      </c>
      <c r="E6" s="2" t="s">
        <v>29</v>
      </c>
      <c r="F6" s="2" t="s">
        <v>20</v>
      </c>
      <c r="G6" s="3">
        <v>874.91</v>
      </c>
      <c r="H6" s="3">
        <f t="shared" si="0"/>
        <v>874.91</v>
      </c>
      <c r="I6" s="3">
        <v>412084.25</v>
      </c>
      <c r="J6">
        <f t="shared" si="1"/>
        <v>360536631.16749996</v>
      </c>
    </row>
    <row r="7" spans="1:13" x14ac:dyDescent="0.3">
      <c r="A7" s="2" t="s">
        <v>30</v>
      </c>
      <c r="B7" s="2" t="s">
        <v>31</v>
      </c>
      <c r="C7" s="2" t="s">
        <v>32</v>
      </c>
      <c r="D7" s="2" t="s">
        <v>33</v>
      </c>
      <c r="E7" s="2" t="s">
        <v>34</v>
      </c>
      <c r="F7" s="2" t="s">
        <v>20</v>
      </c>
      <c r="G7" s="3">
        <v>4131.9399999999996</v>
      </c>
      <c r="H7" s="3"/>
      <c r="I7" s="3">
        <v>311006.01</v>
      </c>
      <c r="J7">
        <f t="shared" si="1"/>
        <v>1285058172.9593999</v>
      </c>
    </row>
    <row r="8" spans="1:13" x14ac:dyDescent="0.3">
      <c r="A8" s="2" t="s">
        <v>35</v>
      </c>
      <c r="B8" s="2" t="s">
        <v>36</v>
      </c>
      <c r="C8" s="2" t="s">
        <v>36</v>
      </c>
      <c r="D8" s="2" t="s">
        <v>37</v>
      </c>
      <c r="E8" s="2" t="s">
        <v>38</v>
      </c>
      <c r="F8" s="2" t="s">
        <v>39</v>
      </c>
      <c r="G8" s="3">
        <v>80</v>
      </c>
      <c r="H8" s="3">
        <f t="shared" si="0"/>
        <v>11.200000000000001</v>
      </c>
      <c r="I8" s="3">
        <v>241947.91</v>
      </c>
      <c r="J8">
        <f t="shared" si="1"/>
        <v>19355832.800000001</v>
      </c>
    </row>
    <row r="9" spans="1:13" x14ac:dyDescent="0.3">
      <c r="A9" s="2" t="s">
        <v>40</v>
      </c>
      <c r="B9" s="2" t="s">
        <v>25</v>
      </c>
      <c r="C9" s="2" t="s">
        <v>26</v>
      </c>
      <c r="D9" s="2" t="s">
        <v>37</v>
      </c>
      <c r="E9" s="2" t="s">
        <v>38</v>
      </c>
      <c r="F9" s="2" t="s">
        <v>39</v>
      </c>
      <c r="G9" s="3">
        <v>40</v>
      </c>
      <c r="H9" s="3">
        <f t="shared" si="0"/>
        <v>5.6000000000000005</v>
      </c>
      <c r="I9" s="3">
        <v>49000</v>
      </c>
      <c r="J9">
        <f t="shared" si="1"/>
        <v>1960000</v>
      </c>
    </row>
    <row r="10" spans="1:13" x14ac:dyDescent="0.3">
      <c r="A10" s="2" t="s">
        <v>41</v>
      </c>
      <c r="B10" s="2" t="s">
        <v>42</v>
      </c>
      <c r="C10" s="2" t="s">
        <v>43</v>
      </c>
      <c r="D10" s="2" t="s">
        <v>33</v>
      </c>
      <c r="E10" s="2" t="s">
        <v>44</v>
      </c>
      <c r="F10" s="2" t="s">
        <v>20</v>
      </c>
      <c r="G10" s="3">
        <v>20</v>
      </c>
      <c r="H10" s="3"/>
      <c r="I10" s="3">
        <v>45000</v>
      </c>
      <c r="J10">
        <f t="shared" si="1"/>
        <v>900000</v>
      </c>
    </row>
    <row r="11" spans="1:13" x14ac:dyDescent="0.3">
      <c r="A11" s="2" t="s">
        <v>45</v>
      </c>
      <c r="B11" s="2" t="s">
        <v>22</v>
      </c>
      <c r="C11" s="2" t="s">
        <v>23</v>
      </c>
      <c r="D11" s="2" t="s">
        <v>33</v>
      </c>
      <c r="E11" s="2" t="s">
        <v>29</v>
      </c>
      <c r="F11" s="2" t="s">
        <v>20</v>
      </c>
      <c r="G11" s="3">
        <v>836</v>
      </c>
      <c r="H11" s="3">
        <f t="shared" si="0"/>
        <v>836</v>
      </c>
      <c r="I11" s="3">
        <v>27106.880000000001</v>
      </c>
      <c r="J11">
        <f t="shared" si="1"/>
        <v>22661351.68</v>
      </c>
    </row>
    <row r="12" spans="1:13" x14ac:dyDescent="0.3">
      <c r="A12" s="2" t="s">
        <v>46</v>
      </c>
      <c r="B12" s="2" t="s">
        <v>22</v>
      </c>
      <c r="C12" s="2" t="s">
        <v>23</v>
      </c>
      <c r="D12" s="2" t="s">
        <v>18</v>
      </c>
      <c r="E12" s="2" t="s">
        <v>19</v>
      </c>
      <c r="F12" s="2" t="s">
        <v>20</v>
      </c>
      <c r="G12" s="3">
        <v>24.12</v>
      </c>
      <c r="H12" s="3">
        <f t="shared" si="0"/>
        <v>24.12</v>
      </c>
      <c r="I12" s="3">
        <v>188024.67</v>
      </c>
      <c r="J12">
        <f t="shared" si="1"/>
        <v>4535155.0404000003</v>
      </c>
    </row>
    <row r="13" spans="1:13" x14ac:dyDescent="0.3">
      <c r="A13" s="2" t="s">
        <v>47</v>
      </c>
      <c r="B13" s="2" t="s">
        <v>36</v>
      </c>
      <c r="C13" s="2" t="s">
        <v>36</v>
      </c>
      <c r="D13" s="2" t="s">
        <v>12</v>
      </c>
      <c r="E13" s="2" t="s">
        <v>13</v>
      </c>
      <c r="F13" s="2" t="s">
        <v>20</v>
      </c>
      <c r="G13" s="3">
        <v>1514.19</v>
      </c>
      <c r="H13" s="3">
        <f t="shared" si="0"/>
        <v>1514.19</v>
      </c>
      <c r="I13" s="3">
        <v>58401.69</v>
      </c>
      <c r="J13">
        <f t="shared" si="1"/>
        <v>88431254.981100008</v>
      </c>
      <c r="M13" s="4">
        <f>SUM(G7,H14,J8,H5)</f>
        <v>19361641.970799997</v>
      </c>
    </row>
    <row r="14" spans="1:13" x14ac:dyDescent="0.3">
      <c r="A14" s="2" t="s">
        <v>48</v>
      </c>
      <c r="B14" s="2" t="s">
        <v>42</v>
      </c>
      <c r="C14" s="2" t="s">
        <v>43</v>
      </c>
      <c r="D14" s="2" t="s">
        <v>49</v>
      </c>
      <c r="E14" s="2" t="s">
        <v>19</v>
      </c>
      <c r="F14" s="2" t="s">
        <v>20</v>
      </c>
      <c r="G14" s="3">
        <v>1113.46</v>
      </c>
      <c r="H14" s="3">
        <f t="shared" si="0"/>
        <v>1113.46</v>
      </c>
      <c r="I14" s="3">
        <v>398456.14</v>
      </c>
      <c r="J14">
        <f t="shared" si="1"/>
        <v>443664973.6444</v>
      </c>
    </row>
    <row r="15" spans="1:13" x14ac:dyDescent="0.3">
      <c r="A15" s="2" t="s">
        <v>50</v>
      </c>
      <c r="B15" s="2" t="s">
        <v>31</v>
      </c>
      <c r="C15" s="2" t="s">
        <v>32</v>
      </c>
      <c r="D15" s="2" t="s">
        <v>37</v>
      </c>
      <c r="E15" s="2" t="s">
        <v>51</v>
      </c>
      <c r="F15" s="2" t="s">
        <v>39</v>
      </c>
      <c r="G15" s="3">
        <v>99</v>
      </c>
      <c r="H15" s="3">
        <f t="shared" si="0"/>
        <v>13.860000000000001</v>
      </c>
      <c r="I15" s="3">
        <v>469777.67</v>
      </c>
      <c r="J15">
        <f t="shared" si="1"/>
        <v>46507989.329999998</v>
      </c>
    </row>
    <row r="16" spans="1:13" x14ac:dyDescent="0.3">
      <c r="A16" s="2" t="s">
        <v>52</v>
      </c>
      <c r="B16" s="2" t="s">
        <v>42</v>
      </c>
      <c r="C16" s="2" t="s">
        <v>43</v>
      </c>
      <c r="D16" s="2" t="s">
        <v>49</v>
      </c>
      <c r="E16" s="2" t="s">
        <v>19</v>
      </c>
      <c r="F16" s="2" t="s">
        <v>20</v>
      </c>
      <c r="G16" s="3" t="s">
        <v>66</v>
      </c>
      <c r="H16" s="3"/>
      <c r="I16" s="3">
        <v>47149.37</v>
      </c>
      <c r="J16" t="e">
        <f t="shared" si="1"/>
        <v>#VALUE!</v>
      </c>
    </row>
    <row r="17" spans="1:10" x14ac:dyDescent="0.3">
      <c r="A17" s="2" t="s">
        <v>53</v>
      </c>
      <c r="B17" s="2" t="s">
        <v>10</v>
      </c>
      <c r="C17" s="2" t="s">
        <v>11</v>
      </c>
      <c r="D17" s="2" t="s">
        <v>54</v>
      </c>
      <c r="E17" s="2" t="s">
        <v>19</v>
      </c>
      <c r="F17" s="2" t="s">
        <v>20</v>
      </c>
      <c r="G17" s="3">
        <v>55</v>
      </c>
      <c r="H17" s="3">
        <f t="shared" si="0"/>
        <v>55</v>
      </c>
      <c r="I17" s="3">
        <v>215320.81</v>
      </c>
      <c r="J17">
        <f t="shared" si="1"/>
        <v>11842644.550000001</v>
      </c>
    </row>
    <row r="18" spans="1:10" x14ac:dyDescent="0.3">
      <c r="A18" s="2" t="s">
        <v>55</v>
      </c>
      <c r="B18" s="2" t="s">
        <v>56</v>
      </c>
      <c r="C18" s="2" t="s">
        <v>57</v>
      </c>
      <c r="D18" s="2" t="s">
        <v>33</v>
      </c>
      <c r="E18" s="2" t="s">
        <v>19</v>
      </c>
      <c r="F18" s="2" t="s">
        <v>20</v>
      </c>
      <c r="G18" s="3">
        <v>911.22</v>
      </c>
      <c r="H18" s="3">
        <f t="shared" si="0"/>
        <v>911.22</v>
      </c>
      <c r="I18" s="3">
        <v>361313.83</v>
      </c>
      <c r="J18">
        <f t="shared" si="1"/>
        <v>329236388.17260003</v>
      </c>
    </row>
    <row r="19" spans="1:10" x14ac:dyDescent="0.3">
      <c r="A19" s="2" t="s">
        <v>58</v>
      </c>
      <c r="B19" s="2" t="s">
        <v>36</v>
      </c>
      <c r="C19" s="2" t="s">
        <v>36</v>
      </c>
      <c r="D19" s="2" t="s">
        <v>49</v>
      </c>
      <c r="E19" s="2" t="s">
        <v>19</v>
      </c>
      <c r="F19" s="2" t="s">
        <v>20</v>
      </c>
      <c r="G19" s="3">
        <v>2581.61</v>
      </c>
      <c r="H19" s="3"/>
      <c r="I19" s="3">
        <v>140472.99</v>
      </c>
      <c r="J19">
        <f t="shared" si="1"/>
        <v>362646475.71389997</v>
      </c>
    </row>
    <row r="20" spans="1:10" x14ac:dyDescent="0.3">
      <c r="J20" t="e">
        <f>SUM(J2:J19)</f>
        <v>#VALUE!</v>
      </c>
    </row>
    <row r="26" spans="1:10" x14ac:dyDescent="0.3">
      <c r="C26" t="s">
        <v>59</v>
      </c>
      <c r="D26" s="4">
        <f>SUM(G2:G19)</f>
        <v>15614.26</v>
      </c>
      <c r="F26" t="s">
        <v>64</v>
      </c>
      <c r="G26">
        <f>COUNT(G2:G23)</f>
        <v>17</v>
      </c>
      <c r="I26" t="s">
        <v>70</v>
      </c>
      <c r="J26" s="4">
        <f>AVERAGE(G2:G19)</f>
        <v>918.48588235294119</v>
      </c>
    </row>
    <row r="27" spans="1:10" x14ac:dyDescent="0.3">
      <c r="C27" t="s">
        <v>60</v>
      </c>
      <c r="D27">
        <f>SUMIF(G2:G19,"&lt;100")</f>
        <v>330.53</v>
      </c>
      <c r="F27" t="s">
        <v>65</v>
      </c>
      <c r="G27">
        <f>COUNTA(G2:G19)</f>
        <v>18</v>
      </c>
      <c r="I27" t="s">
        <v>71</v>
      </c>
      <c r="J27">
        <f>AVERAGEA(G2:G19)</f>
        <v>867.45888888888885</v>
      </c>
    </row>
    <row r="28" spans="1:10" x14ac:dyDescent="0.3">
      <c r="C28" t="s">
        <v>61</v>
      </c>
      <c r="D28">
        <f>SUMIFS(G2:G19,C2:C19,"USA")</f>
        <v>1436.92</v>
      </c>
      <c r="F28" t="s">
        <v>67</v>
      </c>
      <c r="G28">
        <f>COUNTBLANK(H2:H19)</f>
        <v>4</v>
      </c>
      <c r="I28" t="s">
        <v>72</v>
      </c>
      <c r="J28">
        <f>AVERAGEIF(I2:I19,"&lt;50000")</f>
        <v>42064.0625</v>
      </c>
    </row>
    <row r="29" spans="1:10" x14ac:dyDescent="0.3">
      <c r="C29" t="s">
        <v>61</v>
      </c>
      <c r="D29">
        <f>SUMIFS(G2:G19,C2:C19,"USA",D2:D19,"Deposit")</f>
        <v>914.91</v>
      </c>
      <c r="F29" t="s">
        <v>68</v>
      </c>
      <c r="G29">
        <f>COUNTIF(I2:I19,"&lt;50000")</f>
        <v>4</v>
      </c>
      <c r="I29" t="s">
        <v>73</v>
      </c>
      <c r="J29">
        <f>AVERAGEIFS(I2:I19,C2:C19,"USA")</f>
        <v>235445.03333333333</v>
      </c>
    </row>
    <row r="30" spans="1:10" x14ac:dyDescent="0.3">
      <c r="C30" t="s">
        <v>62</v>
      </c>
      <c r="D30">
        <f>SUMPRODUCT(G2:G19,I2:I19)</f>
        <v>4145375095.0100007</v>
      </c>
      <c r="F30" t="s">
        <v>69</v>
      </c>
      <c r="G30">
        <f>COUNTIFS(G2:G19,"&lt;100",F2:F19,"CNY")</f>
        <v>3</v>
      </c>
    </row>
    <row r="31" spans="1:10" x14ac:dyDescent="0.3">
      <c r="C31" t="s">
        <v>63</v>
      </c>
      <c r="D31">
        <f>SUMSQ(G2:G19)</f>
        <v>34168036.0506</v>
      </c>
    </row>
  </sheetData>
  <autoFilter ref="A1:I20" xr:uid="{6FAA8DE6-4188-425B-BBA8-920CB3879D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C299F-55A1-4539-B765-FF09C8272771}">
  <dimension ref="A1:DN232"/>
  <sheetViews>
    <sheetView workbookViewId="0">
      <selection sqref="A1:F19"/>
    </sheetView>
  </sheetViews>
  <sheetFormatPr defaultRowHeight="15.6" x14ac:dyDescent="0.3"/>
  <cols>
    <col min="1" max="1" width="8.8984375" bestFit="1" customWidth="1"/>
    <col min="2" max="2" width="12.19921875" bestFit="1" customWidth="1"/>
    <col min="3" max="3" width="11.796875" bestFit="1" customWidth="1"/>
    <col min="4" max="4" width="7" bestFit="1" customWidth="1"/>
    <col min="5" max="5" width="6.5" bestFit="1" customWidth="1"/>
    <col min="6" max="6" width="9.3984375" bestFit="1" customWidth="1"/>
  </cols>
  <sheetData>
    <row r="1" spans="1:15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</row>
    <row r="2" spans="1:15" x14ac:dyDescent="0.3">
      <c r="A2" s="2" t="s">
        <v>11</v>
      </c>
      <c r="B2" s="2" t="s">
        <v>12</v>
      </c>
      <c r="C2" s="2" t="s">
        <v>13</v>
      </c>
      <c r="D2" s="2" t="s">
        <v>14</v>
      </c>
      <c r="E2" s="3">
        <v>955.8</v>
      </c>
      <c r="F2" s="3">
        <f t="shared" ref="F2:F18" si="0">E2*VLOOKUP(D2,{"USD",1;"EUR",1.08;"GBP",1.27;"JPY",0.0067;"CNY",0.14;"INR",0.012},2,FALSE)</f>
        <v>1032.2640000000001</v>
      </c>
    </row>
    <row r="3" spans="1:15" x14ac:dyDescent="0.3">
      <c r="A3" s="2" t="s">
        <v>17</v>
      </c>
      <c r="B3" s="2" t="s">
        <v>18</v>
      </c>
      <c r="C3" s="2" t="s">
        <v>19</v>
      </c>
      <c r="D3" s="2" t="s">
        <v>20</v>
      </c>
      <c r="E3" s="3">
        <v>12.41</v>
      </c>
      <c r="F3" s="3">
        <f t="shared" si="0"/>
        <v>12.41</v>
      </c>
    </row>
    <row r="4" spans="1:15" x14ac:dyDescent="0.3">
      <c r="A4" s="2" t="s">
        <v>23</v>
      </c>
      <c r="B4" s="2" t="s">
        <v>12</v>
      </c>
      <c r="C4" s="2" t="s">
        <v>13</v>
      </c>
      <c r="D4" s="2" t="s">
        <v>20</v>
      </c>
      <c r="E4" s="3">
        <v>1842.59</v>
      </c>
      <c r="F4" s="3">
        <f t="shared" si="0"/>
        <v>1842.59</v>
      </c>
    </row>
    <row r="5" spans="1:15" x14ac:dyDescent="0.3">
      <c r="A5" s="2" t="s">
        <v>26</v>
      </c>
      <c r="B5" s="2" t="s">
        <v>12</v>
      </c>
      <c r="C5" s="2" t="s">
        <v>27</v>
      </c>
      <c r="D5" s="2" t="s">
        <v>14</v>
      </c>
      <c r="E5" s="3">
        <v>522.01</v>
      </c>
      <c r="F5" s="3">
        <f t="shared" si="0"/>
        <v>563.77080000000001</v>
      </c>
    </row>
    <row r="6" spans="1:15" x14ac:dyDescent="0.3">
      <c r="A6" s="2" t="s">
        <v>26</v>
      </c>
      <c r="B6" s="2" t="s">
        <v>37</v>
      </c>
      <c r="C6" s="2" t="s">
        <v>29</v>
      </c>
      <c r="D6" s="2" t="s">
        <v>20</v>
      </c>
      <c r="E6" s="3">
        <v>874.91</v>
      </c>
      <c r="F6" s="3">
        <f t="shared" si="0"/>
        <v>874.91</v>
      </c>
      <c r="J6" s="1" t="s">
        <v>2</v>
      </c>
      <c r="K6" s="1" t="s">
        <v>3</v>
      </c>
      <c r="L6" s="1" t="s">
        <v>4</v>
      </c>
      <c r="M6" s="1" t="s">
        <v>5</v>
      </c>
      <c r="N6" s="1" t="s">
        <v>6</v>
      </c>
      <c r="O6" s="1" t="s">
        <v>7</v>
      </c>
    </row>
    <row r="7" spans="1:15" x14ac:dyDescent="0.3">
      <c r="A7" s="2" t="s">
        <v>32</v>
      </c>
      <c r="B7" s="2" t="s">
        <v>33</v>
      </c>
      <c r="C7" s="2" t="s">
        <v>34</v>
      </c>
      <c r="D7" s="2" t="s">
        <v>20</v>
      </c>
      <c r="E7" s="3">
        <v>4131.9399999999996</v>
      </c>
      <c r="F7" s="3">
        <v>88</v>
      </c>
      <c r="J7" s="2" t="s">
        <v>11</v>
      </c>
      <c r="K7" s="2" t="s">
        <v>12</v>
      </c>
      <c r="L7" s="2" t="s">
        <v>13</v>
      </c>
      <c r="M7" s="2" t="s">
        <v>14</v>
      </c>
      <c r="N7" s="3">
        <v>955.8</v>
      </c>
      <c r="O7" s="3">
        <f t="shared" ref="O7" si="1">N7*VLOOKUP(M7,{"USD",1;"EUR",1.08;"GBP",1.27;"JPY",0.0067;"CNY",0.14;"INR",0.012},2,FALSE)</f>
        <v>1032.2640000000001</v>
      </c>
    </row>
    <row r="8" spans="1:15" x14ac:dyDescent="0.3">
      <c r="A8" s="2" t="s">
        <v>36</v>
      </c>
      <c r="B8" s="2" t="s">
        <v>37</v>
      </c>
      <c r="C8" s="2" t="s">
        <v>38</v>
      </c>
      <c r="D8" s="2" t="s">
        <v>39</v>
      </c>
      <c r="E8" s="3">
        <v>80</v>
      </c>
      <c r="F8" s="3">
        <f t="shared" si="0"/>
        <v>11.200000000000001</v>
      </c>
      <c r="J8" s="2" t="s">
        <v>17</v>
      </c>
      <c r="K8" s="2" t="s">
        <v>18</v>
      </c>
      <c r="L8" s="2" t="s">
        <v>19</v>
      </c>
      <c r="M8" s="2" t="s">
        <v>20</v>
      </c>
      <c r="N8" s="3">
        <v>12.41</v>
      </c>
      <c r="O8" s="3">
        <f t="shared" ref="O8" si="2">N8*VLOOKUP(M8,{"USD",1;"EUR",1.08;"GBP",1.27;"JPY",0.0067;"CNY",0.14;"INR",0.012},2,FALSE)</f>
        <v>12.41</v>
      </c>
    </row>
    <row r="9" spans="1:15" x14ac:dyDescent="0.3">
      <c r="A9" s="2" t="s">
        <v>26</v>
      </c>
      <c r="B9" s="2" t="s">
        <v>37</v>
      </c>
      <c r="C9" s="2" t="s">
        <v>38</v>
      </c>
      <c r="D9" s="2" t="s">
        <v>39</v>
      </c>
      <c r="E9" s="3">
        <v>40</v>
      </c>
      <c r="F9" s="3">
        <f t="shared" si="0"/>
        <v>5.6000000000000005</v>
      </c>
      <c r="J9" s="2" t="s">
        <v>23</v>
      </c>
      <c r="K9" s="2" t="s">
        <v>12</v>
      </c>
      <c r="L9" s="2" t="s">
        <v>13</v>
      </c>
      <c r="M9" s="2" t="s">
        <v>20</v>
      </c>
      <c r="N9" s="3">
        <v>1842.59</v>
      </c>
      <c r="O9" s="3">
        <f t="shared" ref="O9" si="3">N9*VLOOKUP(M9,{"USD",1;"EUR",1.08;"GBP",1.27;"JPY",0.0067;"CNY",0.14;"INR",0.012},2,FALSE)</f>
        <v>1842.59</v>
      </c>
    </row>
    <row r="10" spans="1:15" x14ac:dyDescent="0.3">
      <c r="A10" s="2" t="s">
        <v>43</v>
      </c>
      <c r="B10" s="2" t="s">
        <v>33</v>
      </c>
      <c r="C10" s="2" t="s">
        <v>44</v>
      </c>
      <c r="D10" s="2" t="s">
        <v>20</v>
      </c>
      <c r="E10" s="3">
        <v>20</v>
      </c>
      <c r="F10" s="3">
        <v>6</v>
      </c>
      <c r="J10" s="2" t="s">
        <v>26</v>
      </c>
      <c r="K10" s="2" t="s">
        <v>12</v>
      </c>
      <c r="L10" s="2" t="s">
        <v>27</v>
      </c>
      <c r="M10" s="2" t="s">
        <v>14</v>
      </c>
      <c r="N10" s="3">
        <v>522.01</v>
      </c>
      <c r="O10" s="3">
        <f t="shared" ref="O10" si="4">N10*VLOOKUP(M10,{"USD",1;"EUR",1.08;"GBP",1.27;"JPY",0.0067;"CNY",0.14;"INR",0.012},2,FALSE)</f>
        <v>563.77080000000001</v>
      </c>
    </row>
    <row r="11" spans="1:15" x14ac:dyDescent="0.3">
      <c r="A11" s="2" t="s">
        <v>23</v>
      </c>
      <c r="B11" s="2" t="s">
        <v>33</v>
      </c>
      <c r="C11" s="2" t="s">
        <v>29</v>
      </c>
      <c r="D11" s="2" t="s">
        <v>20</v>
      </c>
      <c r="E11" s="3">
        <v>836</v>
      </c>
      <c r="F11" s="3">
        <f t="shared" si="0"/>
        <v>836</v>
      </c>
      <c r="J11" s="2" t="s">
        <v>26</v>
      </c>
      <c r="K11" s="2" t="s">
        <v>37</v>
      </c>
      <c r="L11" s="2" t="s">
        <v>29</v>
      </c>
      <c r="M11" s="2" t="s">
        <v>20</v>
      </c>
      <c r="N11" s="3">
        <v>874.91</v>
      </c>
      <c r="O11" s="3">
        <f t="shared" ref="O11" si="5">N11*VLOOKUP(M11,{"USD",1;"EUR",1.08;"GBP",1.27;"JPY",0.0067;"CNY",0.14;"INR",0.012},2,FALSE)</f>
        <v>874.91</v>
      </c>
    </row>
    <row r="12" spans="1:15" x14ac:dyDescent="0.3">
      <c r="A12" s="2" t="s">
        <v>23</v>
      </c>
      <c r="B12" s="2" t="s">
        <v>18</v>
      </c>
      <c r="C12" s="2" t="s">
        <v>19</v>
      </c>
      <c r="D12" s="2" t="s">
        <v>20</v>
      </c>
      <c r="E12" s="3">
        <v>24.12</v>
      </c>
      <c r="F12" s="3">
        <f t="shared" si="0"/>
        <v>24.12</v>
      </c>
      <c r="J12" s="2" t="s">
        <v>32</v>
      </c>
      <c r="K12" s="2" t="s">
        <v>33</v>
      </c>
      <c r="L12" s="2" t="s">
        <v>34</v>
      </c>
      <c r="M12" s="2" t="s">
        <v>20</v>
      </c>
      <c r="N12" s="3">
        <v>4131.9399999999996</v>
      </c>
      <c r="O12" s="3">
        <v>88</v>
      </c>
    </row>
    <row r="13" spans="1:15" x14ac:dyDescent="0.3">
      <c r="A13" s="2" t="s">
        <v>36</v>
      </c>
      <c r="B13" s="2" t="s">
        <v>12</v>
      </c>
      <c r="C13" s="2" t="s">
        <v>13</v>
      </c>
      <c r="D13" s="2" t="s">
        <v>20</v>
      </c>
      <c r="E13" s="3">
        <v>1514.19</v>
      </c>
      <c r="F13" s="3">
        <f t="shared" si="0"/>
        <v>1514.19</v>
      </c>
      <c r="J13" s="2" t="s">
        <v>36</v>
      </c>
      <c r="K13" s="2" t="s">
        <v>37</v>
      </c>
      <c r="L13" s="2" t="s">
        <v>38</v>
      </c>
      <c r="M13" s="2" t="s">
        <v>39</v>
      </c>
      <c r="N13" s="3">
        <v>80</v>
      </c>
      <c r="O13" s="3">
        <f t="shared" ref="O13" si="6">N13*VLOOKUP(M13,{"USD",1;"EUR",1.08;"GBP",1.27;"JPY",0.0067;"CNY",0.14;"INR",0.012},2,FALSE)</f>
        <v>11.200000000000001</v>
      </c>
    </row>
    <row r="14" spans="1:15" x14ac:dyDescent="0.3">
      <c r="A14" s="2" t="s">
        <v>43</v>
      </c>
      <c r="B14" s="2" t="s">
        <v>49</v>
      </c>
      <c r="C14" s="2" t="s">
        <v>19</v>
      </c>
      <c r="D14" s="2" t="s">
        <v>20</v>
      </c>
      <c r="E14" s="3">
        <v>1113.46</v>
      </c>
      <c r="F14" s="3">
        <f t="shared" si="0"/>
        <v>1113.46</v>
      </c>
      <c r="J14" s="2" t="s">
        <v>26</v>
      </c>
      <c r="K14" s="2" t="s">
        <v>37</v>
      </c>
      <c r="L14" s="2" t="s">
        <v>38</v>
      </c>
      <c r="M14" s="2" t="s">
        <v>39</v>
      </c>
      <c r="N14" s="3">
        <v>40</v>
      </c>
      <c r="O14" s="3">
        <f t="shared" ref="O14" si="7">N14*VLOOKUP(M14,{"USD",1;"EUR",1.08;"GBP",1.27;"JPY",0.0067;"CNY",0.14;"INR",0.012},2,FALSE)</f>
        <v>5.6000000000000005</v>
      </c>
    </row>
    <row r="15" spans="1:15" x14ac:dyDescent="0.3">
      <c r="A15" s="2" t="s">
        <v>32</v>
      </c>
      <c r="B15" s="2" t="s">
        <v>37</v>
      </c>
      <c r="C15" s="2" t="s">
        <v>51</v>
      </c>
      <c r="D15" s="2" t="s">
        <v>39</v>
      </c>
      <c r="E15" s="3">
        <v>99</v>
      </c>
      <c r="F15" s="3">
        <f t="shared" si="0"/>
        <v>13.860000000000001</v>
      </c>
      <c r="J15" s="2" t="s">
        <v>43</v>
      </c>
      <c r="K15" s="2" t="s">
        <v>33</v>
      </c>
      <c r="L15" s="2" t="s">
        <v>44</v>
      </c>
      <c r="M15" s="2" t="s">
        <v>20</v>
      </c>
      <c r="N15" s="3">
        <v>20</v>
      </c>
      <c r="O15" s="3">
        <v>6</v>
      </c>
    </row>
    <row r="16" spans="1:15" x14ac:dyDescent="0.3">
      <c r="A16" s="2" t="s">
        <v>43</v>
      </c>
      <c r="B16" s="2" t="s">
        <v>49</v>
      </c>
      <c r="C16" s="2" t="s">
        <v>19</v>
      </c>
      <c r="D16" s="2" t="s">
        <v>20</v>
      </c>
      <c r="E16" s="3">
        <v>45</v>
      </c>
      <c r="F16" s="3">
        <v>234</v>
      </c>
      <c r="J16" s="2" t="s">
        <v>23</v>
      </c>
      <c r="K16" s="2" t="s">
        <v>33</v>
      </c>
      <c r="L16" s="2" t="s">
        <v>29</v>
      </c>
      <c r="M16" s="2" t="s">
        <v>20</v>
      </c>
      <c r="N16" s="3">
        <v>836</v>
      </c>
      <c r="O16" s="3">
        <f t="shared" ref="O16" si="8">N16*VLOOKUP(M16,{"USD",1;"EUR",1.08;"GBP",1.27;"JPY",0.0067;"CNY",0.14;"INR",0.012},2,FALSE)</f>
        <v>836</v>
      </c>
    </row>
    <row r="17" spans="1:15" x14ac:dyDescent="0.3">
      <c r="A17" s="2" t="s">
        <v>11</v>
      </c>
      <c r="B17" s="2" t="s">
        <v>54</v>
      </c>
      <c r="C17" s="2" t="s">
        <v>19</v>
      </c>
      <c r="D17" s="2" t="s">
        <v>20</v>
      </c>
      <c r="E17" s="3">
        <v>55</v>
      </c>
      <c r="F17" s="3">
        <f t="shared" si="0"/>
        <v>55</v>
      </c>
      <c r="J17" s="2" t="s">
        <v>23</v>
      </c>
      <c r="K17" s="2" t="s">
        <v>18</v>
      </c>
      <c r="L17" s="2" t="s">
        <v>19</v>
      </c>
      <c r="M17" s="2" t="s">
        <v>20</v>
      </c>
      <c r="N17" s="3">
        <v>24.12</v>
      </c>
      <c r="O17" s="3">
        <f t="shared" ref="O17" si="9">N17*VLOOKUP(M17,{"USD",1;"EUR",1.08;"GBP",1.27;"JPY",0.0067;"CNY",0.14;"INR",0.012},2,FALSE)</f>
        <v>24.12</v>
      </c>
    </row>
    <row r="18" spans="1:15" x14ac:dyDescent="0.3">
      <c r="A18" s="2" t="s">
        <v>57</v>
      </c>
      <c r="B18" s="2" t="s">
        <v>33</v>
      </c>
      <c r="C18" s="2" t="s">
        <v>19</v>
      </c>
      <c r="D18" s="2" t="s">
        <v>20</v>
      </c>
      <c r="E18" s="3">
        <v>911.22</v>
      </c>
      <c r="F18" s="3">
        <f t="shared" si="0"/>
        <v>911.22</v>
      </c>
      <c r="J18" s="2" t="s">
        <v>36</v>
      </c>
      <c r="K18" s="2" t="s">
        <v>12</v>
      </c>
      <c r="L18" s="2" t="s">
        <v>13</v>
      </c>
      <c r="M18" s="2" t="s">
        <v>20</v>
      </c>
      <c r="N18" s="3">
        <v>1514.19</v>
      </c>
      <c r="O18" s="3">
        <f t="shared" ref="O18" si="10">N18*VLOOKUP(M18,{"USD",1;"EUR",1.08;"GBP",1.27;"JPY",0.0067;"CNY",0.14;"INR",0.012},2,FALSE)</f>
        <v>1514.19</v>
      </c>
    </row>
    <row r="19" spans="1:15" x14ac:dyDescent="0.3">
      <c r="A19" s="2" t="s">
        <v>36</v>
      </c>
      <c r="B19" s="2" t="s">
        <v>49</v>
      </c>
      <c r="C19" s="2" t="s">
        <v>19</v>
      </c>
      <c r="D19" s="2" t="s">
        <v>20</v>
      </c>
      <c r="E19" s="3">
        <v>2581.61</v>
      </c>
      <c r="F19" s="3">
        <v>764</v>
      </c>
      <c r="J19" s="2" t="s">
        <v>43</v>
      </c>
      <c r="K19" s="2" t="s">
        <v>49</v>
      </c>
      <c r="L19" s="2" t="s">
        <v>19</v>
      </c>
      <c r="M19" s="2" t="s">
        <v>20</v>
      </c>
      <c r="N19" s="3">
        <v>1113.46</v>
      </c>
      <c r="O19" s="3">
        <f t="shared" ref="O19" si="11">N19*VLOOKUP(M19,{"USD",1;"EUR",1.08;"GBP",1.27;"JPY",0.0067;"CNY",0.14;"INR",0.012},2,FALSE)</f>
        <v>1113.46</v>
      </c>
    </row>
    <row r="20" spans="1:15" x14ac:dyDescent="0.3">
      <c r="J20" s="2" t="s">
        <v>32</v>
      </c>
      <c r="K20" s="2" t="s">
        <v>37</v>
      </c>
      <c r="L20" s="2" t="s">
        <v>51</v>
      </c>
      <c r="M20" s="2" t="s">
        <v>39</v>
      </c>
      <c r="N20" s="3">
        <v>99</v>
      </c>
      <c r="O20" s="3">
        <f t="shared" ref="O20" si="12">N20*VLOOKUP(M20,{"USD",1;"EUR",1.08;"GBP",1.27;"JPY",0.0067;"CNY",0.14;"INR",0.012},2,FALSE)</f>
        <v>13.860000000000001</v>
      </c>
    </row>
    <row r="21" spans="1:15" x14ac:dyDescent="0.3">
      <c r="J21" s="2" t="s">
        <v>43</v>
      </c>
      <c r="K21" s="2" t="s">
        <v>49</v>
      </c>
      <c r="L21" s="2" t="s">
        <v>19</v>
      </c>
      <c r="M21" s="2" t="s">
        <v>20</v>
      </c>
      <c r="N21" s="3">
        <v>45</v>
      </c>
      <c r="O21" s="3">
        <v>234</v>
      </c>
    </row>
    <row r="22" spans="1:15" x14ac:dyDescent="0.3">
      <c r="J22" s="2" t="s">
        <v>11</v>
      </c>
      <c r="K22" s="2" t="s">
        <v>54</v>
      </c>
      <c r="L22" s="2" t="s">
        <v>19</v>
      </c>
      <c r="M22" s="2" t="s">
        <v>20</v>
      </c>
      <c r="N22" s="3">
        <v>55</v>
      </c>
      <c r="O22" s="3">
        <f t="shared" ref="O22" si="13">N22*VLOOKUP(M22,{"USD",1;"EUR",1.08;"GBP",1.27;"JPY",0.0067;"CNY",0.14;"INR",0.012},2,FALSE)</f>
        <v>55</v>
      </c>
    </row>
    <row r="23" spans="1:15" x14ac:dyDescent="0.3">
      <c r="J23" s="2" t="s">
        <v>57</v>
      </c>
      <c r="K23" s="2" t="s">
        <v>33</v>
      </c>
      <c r="L23" s="2" t="s">
        <v>19</v>
      </c>
      <c r="M23" s="2" t="s">
        <v>20</v>
      </c>
      <c r="N23" s="3">
        <v>911.22</v>
      </c>
      <c r="O23" s="3">
        <f t="shared" ref="O23" si="14">N23*VLOOKUP(M23,{"USD",1;"EUR",1.08;"GBP",1.27;"JPY",0.0067;"CNY",0.14;"INR",0.012},2,FALSE)</f>
        <v>911.22</v>
      </c>
    </row>
    <row r="24" spans="1:15" x14ac:dyDescent="0.3">
      <c r="J24" s="2" t="s">
        <v>36</v>
      </c>
      <c r="K24" s="2" t="s">
        <v>49</v>
      </c>
      <c r="L24" s="2" t="s">
        <v>19</v>
      </c>
      <c r="M24" s="2" t="s">
        <v>20</v>
      </c>
      <c r="N24" s="3">
        <v>2581.61</v>
      </c>
      <c r="O24" s="3">
        <v>764</v>
      </c>
    </row>
    <row r="28" spans="1:15" x14ac:dyDescent="0.3">
      <c r="A28" s="1" t="s">
        <v>2</v>
      </c>
      <c r="B28" s="1" t="s">
        <v>3</v>
      </c>
      <c r="C28" s="1" t="s">
        <v>4</v>
      </c>
      <c r="D28" s="1" t="s">
        <v>5</v>
      </c>
      <c r="E28" s="1" t="s">
        <v>6</v>
      </c>
      <c r="F28" s="1" t="s">
        <v>7</v>
      </c>
    </row>
    <row r="29" spans="1:15" x14ac:dyDescent="0.3">
      <c r="A29" s="2" t="s">
        <v>11</v>
      </c>
      <c r="B29" s="2" t="s">
        <v>12</v>
      </c>
      <c r="C29" s="2" t="s">
        <v>13</v>
      </c>
      <c r="D29" s="2" t="s">
        <v>14</v>
      </c>
      <c r="E29" s="3">
        <v>955.8</v>
      </c>
      <c r="F29" s="3">
        <f t="shared" ref="F29" si="15">E29*VLOOKUP(D29,{"USD",1;"EUR",1.08;"GBP",1.27;"JPY",0.0067;"CNY",0.14;"INR",0.012},2,FALSE)</f>
        <v>1032.2640000000001</v>
      </c>
    </row>
    <row r="30" spans="1:15" x14ac:dyDescent="0.3">
      <c r="A30" s="2" t="s">
        <v>17</v>
      </c>
      <c r="B30" s="2" t="s">
        <v>18</v>
      </c>
      <c r="C30" s="2" t="s">
        <v>19</v>
      </c>
      <c r="D30" s="2" t="s">
        <v>20</v>
      </c>
      <c r="E30" s="3">
        <v>12.41</v>
      </c>
      <c r="F30" s="3">
        <f t="shared" ref="F30" si="16">E30*VLOOKUP(D30,{"USD",1;"EUR",1.08;"GBP",1.27;"JPY",0.0067;"CNY",0.14;"INR",0.012},2,FALSE)</f>
        <v>12.41</v>
      </c>
      <c r="J30" t="str" cm="1">
        <f t="array" ref="J30:O84">_xlfn.VSTACK(A1:F19,J7:O24,A29:F46)</f>
        <v>Country</v>
      </c>
      <c r="K30" t="str">
        <v>TransactionType</v>
      </c>
      <c r="L30" t="str">
        <v>Category</v>
      </c>
      <c r="M30" t="str">
        <v>Currency</v>
      </c>
      <c r="N30" t="str">
        <v>Amount</v>
      </c>
      <c r="O30" t="str">
        <v>AmountUSD</v>
      </c>
    </row>
    <row r="31" spans="1:15" x14ac:dyDescent="0.3">
      <c r="A31" s="2" t="s">
        <v>23</v>
      </c>
      <c r="B31" s="2" t="s">
        <v>12</v>
      </c>
      <c r="C31" s="2" t="s">
        <v>13</v>
      </c>
      <c r="D31" s="2" t="s">
        <v>20</v>
      </c>
      <c r="E31" s="3">
        <v>1842.59</v>
      </c>
      <c r="F31" s="3">
        <f t="shared" ref="F31" si="17">E31*VLOOKUP(D31,{"USD",1;"EUR",1.08;"GBP",1.27;"JPY",0.0067;"CNY",0.14;"INR",0.012},2,FALSE)</f>
        <v>1842.59</v>
      </c>
      <c r="J31" t="str">
        <v>UK</v>
      </c>
      <c r="K31" t="str">
        <v>Withdrawal</v>
      </c>
      <c r="L31" t="str">
        <v>Dining</v>
      </c>
      <c r="M31" t="str">
        <v>EUR</v>
      </c>
      <c r="N31">
        <v>955.8</v>
      </c>
      <c r="O31">
        <v>1032.2640000000001</v>
      </c>
    </row>
    <row r="32" spans="1:15" x14ac:dyDescent="0.3">
      <c r="A32" s="2" t="s">
        <v>26</v>
      </c>
      <c r="B32" s="2" t="s">
        <v>12</v>
      </c>
      <c r="C32" s="2" t="s">
        <v>27</v>
      </c>
      <c r="D32" s="2" t="s">
        <v>14</v>
      </c>
      <c r="E32" s="3">
        <v>522.01</v>
      </c>
      <c r="F32" s="3">
        <f t="shared" ref="F32" si="18">E32*VLOOKUP(D32,{"USD",1;"EUR",1.08;"GBP",1.27;"JPY",0.0067;"CNY",0.14;"INR",0.012},2,FALSE)</f>
        <v>563.77080000000001</v>
      </c>
      <c r="J32" t="str">
        <v>Japan</v>
      </c>
      <c r="K32" t="str">
        <v>Fee</v>
      </c>
      <c r="L32" t="str">
        <v>Other</v>
      </c>
      <c r="M32" t="str">
        <v>USD</v>
      </c>
      <c r="N32">
        <v>12.41</v>
      </c>
      <c r="O32">
        <v>12.41</v>
      </c>
    </row>
    <row r="33" spans="1:15" x14ac:dyDescent="0.3">
      <c r="A33" s="2" t="s">
        <v>26</v>
      </c>
      <c r="B33" s="2" t="s">
        <v>37</v>
      </c>
      <c r="C33" s="2" t="s">
        <v>29</v>
      </c>
      <c r="D33" s="2" t="s">
        <v>20</v>
      </c>
      <c r="E33" s="3">
        <v>874.91</v>
      </c>
      <c r="F33" s="3">
        <f t="shared" ref="F33" si="19">E33*VLOOKUP(D33,{"USD",1;"EUR",1.08;"GBP",1.27;"JPY",0.0067;"CNY",0.14;"INR",0.012},2,FALSE)</f>
        <v>874.91</v>
      </c>
      <c r="J33" t="str">
        <v>Canada</v>
      </c>
      <c r="K33" t="str">
        <v>Withdrawal</v>
      </c>
      <c r="L33" t="str">
        <v>Dining</v>
      </c>
      <c r="M33" t="str">
        <v>USD</v>
      </c>
      <c r="N33">
        <v>1842.59</v>
      </c>
      <c r="O33">
        <v>1842.59</v>
      </c>
    </row>
    <row r="34" spans="1:15" x14ac:dyDescent="0.3">
      <c r="A34" s="2" t="s">
        <v>32</v>
      </c>
      <c r="B34" s="2" t="s">
        <v>33</v>
      </c>
      <c r="C34" s="2" t="s">
        <v>34</v>
      </c>
      <c r="D34" s="2" t="s">
        <v>20</v>
      </c>
      <c r="E34" s="3">
        <v>4131.9399999999996</v>
      </c>
      <c r="F34" s="3">
        <v>88</v>
      </c>
      <c r="J34" t="str">
        <v>USA</v>
      </c>
      <c r="K34" t="str">
        <v>Withdrawal</v>
      </c>
      <c r="L34" t="str">
        <v>Entertainment</v>
      </c>
      <c r="M34" t="str">
        <v>EUR</v>
      </c>
      <c r="N34">
        <v>522.01</v>
      </c>
      <c r="O34">
        <v>563.77080000000001</v>
      </c>
    </row>
    <row r="35" spans="1:15" x14ac:dyDescent="0.3">
      <c r="A35" s="2" t="s">
        <v>36</v>
      </c>
      <c r="B35" s="2" t="s">
        <v>37</v>
      </c>
      <c r="C35" s="2" t="s">
        <v>38</v>
      </c>
      <c r="D35" s="2" t="s">
        <v>39</v>
      </c>
      <c r="E35" s="3">
        <v>80</v>
      </c>
      <c r="F35" s="3">
        <f t="shared" ref="F35" si="20">E35*VLOOKUP(D35,{"USD",1;"EUR",1.08;"GBP",1.27;"JPY",0.0067;"CNY",0.14;"INR",0.012},2,FALSE)</f>
        <v>11.200000000000001</v>
      </c>
      <c r="J35" t="str">
        <v>USA</v>
      </c>
      <c r="K35" t="str">
        <v>Deposit</v>
      </c>
      <c r="L35" t="str">
        <v>Shopping</v>
      </c>
      <c r="M35" t="str">
        <v>USD</v>
      </c>
      <c r="N35">
        <v>874.91</v>
      </c>
      <c r="O35">
        <v>874.91</v>
      </c>
    </row>
    <row r="36" spans="1:15" x14ac:dyDescent="0.3">
      <c r="A36" s="2" t="s">
        <v>26</v>
      </c>
      <c r="B36" s="2" t="s">
        <v>37</v>
      </c>
      <c r="C36" s="2" t="s">
        <v>38</v>
      </c>
      <c r="D36" s="2" t="s">
        <v>39</v>
      </c>
      <c r="E36" s="3">
        <v>40</v>
      </c>
      <c r="F36" s="3">
        <f t="shared" ref="F36" si="21">E36*VLOOKUP(D36,{"USD",1;"EUR",1.08;"GBP",1.27;"JPY",0.0067;"CNY",0.14;"INR",0.012},2,FALSE)</f>
        <v>5.6000000000000005</v>
      </c>
      <c r="J36" t="str">
        <v>Australia</v>
      </c>
      <c r="K36" t="str">
        <v>Payment</v>
      </c>
      <c r="L36" t="str">
        <v>Education</v>
      </c>
      <c r="M36" t="str">
        <v>USD</v>
      </c>
      <c r="N36">
        <v>4131.9399999999996</v>
      </c>
      <c r="O36">
        <v>88</v>
      </c>
    </row>
    <row r="37" spans="1:15" x14ac:dyDescent="0.3">
      <c r="A37" s="2" t="s">
        <v>43</v>
      </c>
      <c r="B37" s="2" t="s">
        <v>33</v>
      </c>
      <c r="C37" s="2" t="s">
        <v>44</v>
      </c>
      <c r="D37" s="2" t="s">
        <v>20</v>
      </c>
      <c r="E37" s="3">
        <v>20</v>
      </c>
      <c r="F37" s="3">
        <v>6</v>
      </c>
      <c r="J37" t="str">
        <v>Singapore</v>
      </c>
      <c r="K37" t="str">
        <v>Deposit</v>
      </c>
      <c r="L37" t="str">
        <v>Salary</v>
      </c>
      <c r="M37" t="str">
        <v>CNY</v>
      </c>
      <c r="N37">
        <v>80</v>
      </c>
      <c r="O37">
        <v>11.200000000000001</v>
      </c>
    </row>
    <row r="38" spans="1:15" x14ac:dyDescent="0.3">
      <c r="A38" s="2" t="s">
        <v>23</v>
      </c>
      <c r="B38" s="2" t="s">
        <v>33</v>
      </c>
      <c r="C38" s="2" t="s">
        <v>29</v>
      </c>
      <c r="D38" s="2" t="s">
        <v>20</v>
      </c>
      <c r="E38" s="3">
        <v>836</v>
      </c>
      <c r="F38" s="3">
        <f t="shared" ref="F38" si="22">E38*VLOOKUP(D38,{"USD",1;"EUR",1.08;"GBP",1.27;"JPY",0.0067;"CNY",0.14;"INR",0.012},2,FALSE)</f>
        <v>836</v>
      </c>
      <c r="J38" t="str">
        <v>USA</v>
      </c>
      <c r="K38" t="str">
        <v>Deposit</v>
      </c>
      <c r="L38" t="str">
        <v>Salary</v>
      </c>
      <c r="M38" t="str">
        <v>CNY</v>
      </c>
      <c r="N38">
        <v>40</v>
      </c>
      <c r="O38">
        <v>5.6000000000000005</v>
      </c>
    </row>
    <row r="39" spans="1:15" x14ac:dyDescent="0.3">
      <c r="A39" s="2" t="s">
        <v>23</v>
      </c>
      <c r="B39" s="2" t="s">
        <v>18</v>
      </c>
      <c r="C39" s="2" t="s">
        <v>19</v>
      </c>
      <c r="D39" s="2" t="s">
        <v>20</v>
      </c>
      <c r="E39" s="3">
        <v>24.12</v>
      </c>
      <c r="F39" s="3">
        <f t="shared" ref="F39" si="23">E39*VLOOKUP(D39,{"USD",1;"EUR",1.08;"GBP",1.27;"JPY",0.0067;"CNY",0.14;"INR",0.012},2,FALSE)</f>
        <v>24.12</v>
      </c>
      <c r="J39" t="str">
        <v>Germany</v>
      </c>
      <c r="K39" t="str">
        <v>Payment</v>
      </c>
      <c r="L39" t="str">
        <v>Insurance</v>
      </c>
      <c r="M39" t="str">
        <v>USD</v>
      </c>
      <c r="N39">
        <v>20</v>
      </c>
      <c r="O39">
        <v>6</v>
      </c>
    </row>
    <row r="40" spans="1:15" x14ac:dyDescent="0.3">
      <c r="A40" s="2" t="s">
        <v>36</v>
      </c>
      <c r="B40" s="2" t="s">
        <v>12</v>
      </c>
      <c r="C40" s="2" t="s">
        <v>13</v>
      </c>
      <c r="D40" s="2" t="s">
        <v>20</v>
      </c>
      <c r="E40" s="3">
        <v>1514.19</v>
      </c>
      <c r="F40" s="3">
        <f t="shared" ref="F40" si="24">E40*VLOOKUP(D40,{"USD",1;"EUR",1.08;"GBP",1.27;"JPY",0.0067;"CNY",0.14;"INR",0.012},2,FALSE)</f>
        <v>1514.19</v>
      </c>
      <c r="J40" t="str">
        <v>Canada</v>
      </c>
      <c r="K40" t="str">
        <v>Payment</v>
      </c>
      <c r="L40" t="str">
        <v>Shopping</v>
      </c>
      <c r="M40" t="str">
        <v>USD</v>
      </c>
      <c r="N40">
        <v>836</v>
      </c>
      <c r="O40">
        <v>836</v>
      </c>
    </row>
    <row r="41" spans="1:15" x14ac:dyDescent="0.3">
      <c r="A41" s="2" t="s">
        <v>43</v>
      </c>
      <c r="B41" s="2" t="s">
        <v>49</v>
      </c>
      <c r="C41" s="2" t="s">
        <v>19</v>
      </c>
      <c r="D41" s="2" t="s">
        <v>20</v>
      </c>
      <c r="E41" s="3">
        <v>1113.46</v>
      </c>
      <c r="F41" s="3">
        <f t="shared" ref="F41" si="25">E41*VLOOKUP(D41,{"USD",1;"EUR",1.08;"GBP",1.27;"JPY",0.0067;"CNY",0.14;"INR",0.012},2,FALSE)</f>
        <v>1113.46</v>
      </c>
      <c r="J41" t="str">
        <v>Canada</v>
      </c>
      <c r="K41" t="str">
        <v>Fee</v>
      </c>
      <c r="L41" t="str">
        <v>Other</v>
      </c>
      <c r="M41" t="str">
        <v>USD</v>
      </c>
      <c r="N41">
        <v>24.12</v>
      </c>
      <c r="O41">
        <v>24.12</v>
      </c>
    </row>
    <row r="42" spans="1:15" x14ac:dyDescent="0.3">
      <c r="A42" s="2" t="s">
        <v>32</v>
      </c>
      <c r="B42" s="2" t="s">
        <v>37</v>
      </c>
      <c r="C42" s="2" t="s">
        <v>51</v>
      </c>
      <c r="D42" s="2" t="s">
        <v>39</v>
      </c>
      <c r="E42" s="3">
        <v>99</v>
      </c>
      <c r="F42" s="3">
        <f t="shared" ref="F42" si="26">E42*VLOOKUP(D42,{"USD",1;"EUR",1.08;"GBP",1.27;"JPY",0.0067;"CNY",0.14;"INR",0.012},2,FALSE)</f>
        <v>13.860000000000001</v>
      </c>
      <c r="J42" t="str">
        <v>Singapore</v>
      </c>
      <c r="K42" t="str">
        <v>Withdrawal</v>
      </c>
      <c r="L42" t="str">
        <v>Dining</v>
      </c>
      <c r="M42" t="str">
        <v>USD</v>
      </c>
      <c r="N42">
        <v>1514.19</v>
      </c>
      <c r="O42">
        <v>1514.19</v>
      </c>
    </row>
    <row r="43" spans="1:15" x14ac:dyDescent="0.3">
      <c r="A43" s="2" t="s">
        <v>43</v>
      </c>
      <c r="B43" s="2" t="s">
        <v>49</v>
      </c>
      <c r="C43" s="2" t="s">
        <v>19</v>
      </c>
      <c r="D43" s="2" t="s">
        <v>20</v>
      </c>
      <c r="E43" s="3">
        <v>45</v>
      </c>
      <c r="F43" s="3">
        <v>234</v>
      </c>
      <c r="J43" t="str">
        <v>Germany</v>
      </c>
      <c r="K43" t="str">
        <v>Transfer</v>
      </c>
      <c r="L43" t="str">
        <v>Other</v>
      </c>
      <c r="M43" t="str">
        <v>USD</v>
      </c>
      <c r="N43">
        <v>1113.46</v>
      </c>
      <c r="O43">
        <v>1113.46</v>
      </c>
    </row>
    <row r="44" spans="1:15" x14ac:dyDescent="0.3">
      <c r="A44" s="2" t="s">
        <v>11</v>
      </c>
      <c r="B44" s="2" t="s">
        <v>54</v>
      </c>
      <c r="C44" s="2" t="s">
        <v>19</v>
      </c>
      <c r="D44" s="2" t="s">
        <v>20</v>
      </c>
      <c r="E44" s="3">
        <v>55</v>
      </c>
      <c r="F44" s="3">
        <f t="shared" ref="F44" si="27">E44*VLOOKUP(D44,{"USD",1;"EUR",1.08;"GBP",1.27;"JPY",0.0067;"CNY",0.14;"INR",0.012},2,FALSE)</f>
        <v>55</v>
      </c>
      <c r="J44" t="str">
        <v>Australia</v>
      </c>
      <c r="K44" t="str">
        <v>Deposit</v>
      </c>
      <c r="L44" t="str">
        <v>Investment</v>
      </c>
      <c r="M44" t="str">
        <v>CNY</v>
      </c>
      <c r="N44">
        <v>99</v>
      </c>
      <c r="O44">
        <v>13.860000000000001</v>
      </c>
    </row>
    <row r="45" spans="1:15" x14ac:dyDescent="0.3">
      <c r="A45" s="2" t="s">
        <v>57</v>
      </c>
      <c r="B45" s="2" t="s">
        <v>33</v>
      </c>
      <c r="C45" s="2" t="s">
        <v>19</v>
      </c>
      <c r="D45" s="2" t="s">
        <v>20</v>
      </c>
      <c r="E45" s="3">
        <v>911.22</v>
      </c>
      <c r="F45" s="3">
        <f t="shared" ref="F45" si="28">E45*VLOOKUP(D45,{"USD",1;"EUR",1.08;"GBP",1.27;"JPY",0.0067;"CNY",0.14;"INR",0.012},2,FALSE)</f>
        <v>911.22</v>
      </c>
      <c r="J45" t="str">
        <v>Germany</v>
      </c>
      <c r="K45" t="str">
        <v>Transfer</v>
      </c>
      <c r="L45" t="str">
        <v>Other</v>
      </c>
      <c r="M45" t="str">
        <v>USD</v>
      </c>
      <c r="N45">
        <v>45</v>
      </c>
      <c r="O45">
        <v>234</v>
      </c>
    </row>
    <row r="46" spans="1:15" x14ac:dyDescent="0.3">
      <c r="A46" s="2" t="s">
        <v>36</v>
      </c>
      <c r="B46" s="2" t="s">
        <v>49</v>
      </c>
      <c r="C46" s="2" t="s">
        <v>19</v>
      </c>
      <c r="D46" s="2" t="s">
        <v>20</v>
      </c>
      <c r="E46" s="3">
        <v>2581.61</v>
      </c>
      <c r="F46" s="3">
        <v>764</v>
      </c>
      <c r="J46" t="str">
        <v>UK</v>
      </c>
      <c r="K46" t="str">
        <v>Loan</v>
      </c>
      <c r="L46" t="str">
        <v>Other</v>
      </c>
      <c r="M46" t="str">
        <v>USD</v>
      </c>
      <c r="N46">
        <v>55</v>
      </c>
      <c r="O46">
        <v>55</v>
      </c>
    </row>
    <row r="47" spans="1:15" x14ac:dyDescent="0.3">
      <c r="J47" t="str">
        <v>UAE</v>
      </c>
      <c r="K47" t="str">
        <v>Payment</v>
      </c>
      <c r="L47" t="str">
        <v>Other</v>
      </c>
      <c r="M47" t="str">
        <v>USD</v>
      </c>
      <c r="N47">
        <v>911.22</v>
      </c>
      <c r="O47">
        <v>911.22</v>
      </c>
    </row>
    <row r="48" spans="1:15" x14ac:dyDescent="0.3">
      <c r="J48" t="str">
        <v>Singapore</v>
      </c>
      <c r="K48" t="str">
        <v>Transfer</v>
      </c>
      <c r="L48" t="str">
        <v>Other</v>
      </c>
      <c r="M48" t="str">
        <v>USD</v>
      </c>
      <c r="N48">
        <v>2581.61</v>
      </c>
      <c r="O48">
        <v>764</v>
      </c>
    </row>
    <row r="49" spans="10:15" x14ac:dyDescent="0.3">
      <c r="J49" t="str">
        <v>UK</v>
      </c>
      <c r="K49" t="str">
        <v>Withdrawal</v>
      </c>
      <c r="L49" t="str">
        <v>Dining</v>
      </c>
      <c r="M49" t="str">
        <v>EUR</v>
      </c>
      <c r="N49">
        <v>955.8</v>
      </c>
      <c r="O49">
        <v>1032.2640000000001</v>
      </c>
    </row>
    <row r="50" spans="10:15" x14ac:dyDescent="0.3">
      <c r="J50" t="str">
        <v>Japan</v>
      </c>
      <c r="K50" t="str">
        <v>Fee</v>
      </c>
      <c r="L50" t="str">
        <v>Other</v>
      </c>
      <c r="M50" t="str">
        <v>USD</v>
      </c>
      <c r="N50">
        <v>12.41</v>
      </c>
      <c r="O50">
        <v>12.41</v>
      </c>
    </row>
    <row r="51" spans="10:15" x14ac:dyDescent="0.3">
      <c r="J51" t="str">
        <v>Canada</v>
      </c>
      <c r="K51" t="str">
        <v>Withdrawal</v>
      </c>
      <c r="L51" t="str">
        <v>Dining</v>
      </c>
      <c r="M51" t="str">
        <v>USD</v>
      </c>
      <c r="N51">
        <v>1842.59</v>
      </c>
      <c r="O51">
        <v>1842.59</v>
      </c>
    </row>
    <row r="52" spans="10:15" x14ac:dyDescent="0.3">
      <c r="J52" t="str">
        <v>USA</v>
      </c>
      <c r="K52" t="str">
        <v>Withdrawal</v>
      </c>
      <c r="L52" t="str">
        <v>Entertainment</v>
      </c>
      <c r="M52" t="str">
        <v>EUR</v>
      </c>
      <c r="N52">
        <v>522.01</v>
      </c>
      <c r="O52">
        <v>563.77080000000001</v>
      </c>
    </row>
    <row r="53" spans="10:15" x14ac:dyDescent="0.3">
      <c r="J53" t="str">
        <v>USA</v>
      </c>
      <c r="K53" t="str">
        <v>Deposit</v>
      </c>
      <c r="L53" t="str">
        <v>Shopping</v>
      </c>
      <c r="M53" t="str">
        <v>USD</v>
      </c>
      <c r="N53">
        <v>874.91</v>
      </c>
      <c r="O53">
        <v>874.91</v>
      </c>
    </row>
    <row r="54" spans="10:15" x14ac:dyDescent="0.3">
      <c r="J54" t="str">
        <v>Australia</v>
      </c>
      <c r="K54" t="str">
        <v>Payment</v>
      </c>
      <c r="L54" t="str">
        <v>Education</v>
      </c>
      <c r="M54" t="str">
        <v>USD</v>
      </c>
      <c r="N54">
        <v>4131.9399999999996</v>
      </c>
      <c r="O54">
        <v>88</v>
      </c>
    </row>
    <row r="55" spans="10:15" x14ac:dyDescent="0.3">
      <c r="J55" t="str">
        <v>Singapore</v>
      </c>
      <c r="K55" t="str">
        <v>Deposit</v>
      </c>
      <c r="L55" t="str">
        <v>Salary</v>
      </c>
      <c r="M55" t="str">
        <v>CNY</v>
      </c>
      <c r="N55">
        <v>80</v>
      </c>
      <c r="O55">
        <v>11.200000000000001</v>
      </c>
    </row>
    <row r="56" spans="10:15" x14ac:dyDescent="0.3">
      <c r="J56" t="str">
        <v>USA</v>
      </c>
      <c r="K56" t="str">
        <v>Deposit</v>
      </c>
      <c r="L56" t="str">
        <v>Salary</v>
      </c>
      <c r="M56" t="str">
        <v>CNY</v>
      </c>
      <c r="N56">
        <v>40</v>
      </c>
      <c r="O56">
        <v>5.6000000000000005</v>
      </c>
    </row>
    <row r="57" spans="10:15" x14ac:dyDescent="0.3">
      <c r="J57" t="str">
        <v>Germany</v>
      </c>
      <c r="K57" t="str">
        <v>Payment</v>
      </c>
      <c r="L57" t="str">
        <v>Insurance</v>
      </c>
      <c r="M57" t="str">
        <v>USD</v>
      </c>
      <c r="N57">
        <v>20</v>
      </c>
      <c r="O57">
        <v>6</v>
      </c>
    </row>
    <row r="58" spans="10:15" x14ac:dyDescent="0.3">
      <c r="J58" t="str">
        <v>Canada</v>
      </c>
      <c r="K58" t="str">
        <v>Payment</v>
      </c>
      <c r="L58" t="str">
        <v>Shopping</v>
      </c>
      <c r="M58" t="str">
        <v>USD</v>
      </c>
      <c r="N58">
        <v>836</v>
      </c>
      <c r="O58">
        <v>836</v>
      </c>
    </row>
    <row r="59" spans="10:15" x14ac:dyDescent="0.3">
      <c r="J59" t="str">
        <v>Canada</v>
      </c>
      <c r="K59" t="str">
        <v>Fee</v>
      </c>
      <c r="L59" t="str">
        <v>Other</v>
      </c>
      <c r="M59" t="str">
        <v>USD</v>
      </c>
      <c r="N59">
        <v>24.12</v>
      </c>
      <c r="O59">
        <v>24.12</v>
      </c>
    </row>
    <row r="60" spans="10:15" x14ac:dyDescent="0.3">
      <c r="J60" t="str">
        <v>Singapore</v>
      </c>
      <c r="K60" t="str">
        <v>Withdrawal</v>
      </c>
      <c r="L60" t="str">
        <v>Dining</v>
      </c>
      <c r="M60" t="str">
        <v>USD</v>
      </c>
      <c r="N60">
        <v>1514.19</v>
      </c>
      <c r="O60">
        <v>1514.19</v>
      </c>
    </row>
    <row r="61" spans="10:15" x14ac:dyDescent="0.3">
      <c r="J61" t="str">
        <v>Germany</v>
      </c>
      <c r="K61" t="str">
        <v>Transfer</v>
      </c>
      <c r="L61" t="str">
        <v>Other</v>
      </c>
      <c r="M61" t="str">
        <v>USD</v>
      </c>
      <c r="N61">
        <v>1113.46</v>
      </c>
      <c r="O61">
        <v>1113.46</v>
      </c>
    </row>
    <row r="62" spans="10:15" x14ac:dyDescent="0.3">
      <c r="J62" t="str">
        <v>Australia</v>
      </c>
      <c r="K62" t="str">
        <v>Deposit</v>
      </c>
      <c r="L62" t="str">
        <v>Investment</v>
      </c>
      <c r="M62" t="str">
        <v>CNY</v>
      </c>
      <c r="N62">
        <v>99</v>
      </c>
      <c r="O62">
        <v>13.860000000000001</v>
      </c>
    </row>
    <row r="63" spans="10:15" x14ac:dyDescent="0.3">
      <c r="J63" t="str">
        <v>Germany</v>
      </c>
      <c r="K63" t="str">
        <v>Transfer</v>
      </c>
      <c r="L63" t="str">
        <v>Other</v>
      </c>
      <c r="M63" t="str">
        <v>USD</v>
      </c>
      <c r="N63">
        <v>45</v>
      </c>
      <c r="O63">
        <v>234</v>
      </c>
    </row>
    <row r="64" spans="10:15" x14ac:dyDescent="0.3">
      <c r="J64" t="str">
        <v>UK</v>
      </c>
      <c r="K64" t="str">
        <v>Loan</v>
      </c>
      <c r="L64" t="str">
        <v>Other</v>
      </c>
      <c r="M64" t="str">
        <v>USD</v>
      </c>
      <c r="N64">
        <v>55</v>
      </c>
      <c r="O64">
        <v>55</v>
      </c>
    </row>
    <row r="65" spans="10:15" x14ac:dyDescent="0.3">
      <c r="J65" t="str">
        <v>UAE</v>
      </c>
      <c r="K65" t="str">
        <v>Payment</v>
      </c>
      <c r="L65" t="str">
        <v>Other</v>
      </c>
      <c r="M65" t="str">
        <v>USD</v>
      </c>
      <c r="N65">
        <v>911.22</v>
      </c>
      <c r="O65">
        <v>911.22</v>
      </c>
    </row>
    <row r="66" spans="10:15" x14ac:dyDescent="0.3">
      <c r="J66" t="str">
        <v>Singapore</v>
      </c>
      <c r="K66" t="str">
        <v>Transfer</v>
      </c>
      <c r="L66" t="str">
        <v>Other</v>
      </c>
      <c r="M66" t="str">
        <v>USD</v>
      </c>
      <c r="N66">
        <v>2581.61</v>
      </c>
      <c r="O66">
        <v>764</v>
      </c>
    </row>
    <row r="67" spans="10:15" x14ac:dyDescent="0.3">
      <c r="J67" t="str">
        <v>UK</v>
      </c>
      <c r="K67" t="str">
        <v>Withdrawal</v>
      </c>
      <c r="L67" t="str">
        <v>Dining</v>
      </c>
      <c r="M67" t="str">
        <v>EUR</v>
      </c>
      <c r="N67">
        <v>955.8</v>
      </c>
      <c r="O67">
        <v>1032.2640000000001</v>
      </c>
    </row>
    <row r="68" spans="10:15" x14ac:dyDescent="0.3">
      <c r="J68" t="str">
        <v>Japan</v>
      </c>
      <c r="K68" t="str">
        <v>Fee</v>
      </c>
      <c r="L68" t="str">
        <v>Other</v>
      </c>
      <c r="M68" t="str">
        <v>USD</v>
      </c>
      <c r="N68">
        <v>12.41</v>
      </c>
      <c r="O68">
        <v>12.41</v>
      </c>
    </row>
    <row r="69" spans="10:15" x14ac:dyDescent="0.3">
      <c r="J69" t="str">
        <v>Canada</v>
      </c>
      <c r="K69" t="str">
        <v>Withdrawal</v>
      </c>
      <c r="L69" t="str">
        <v>Dining</v>
      </c>
      <c r="M69" t="str">
        <v>USD</v>
      </c>
      <c r="N69">
        <v>1842.59</v>
      </c>
      <c r="O69">
        <v>1842.59</v>
      </c>
    </row>
    <row r="70" spans="10:15" x14ac:dyDescent="0.3">
      <c r="J70" t="str">
        <v>USA</v>
      </c>
      <c r="K70" t="str">
        <v>Withdrawal</v>
      </c>
      <c r="L70" t="str">
        <v>Entertainment</v>
      </c>
      <c r="M70" t="str">
        <v>EUR</v>
      </c>
      <c r="N70">
        <v>522.01</v>
      </c>
      <c r="O70">
        <v>563.77080000000001</v>
      </c>
    </row>
    <row r="71" spans="10:15" x14ac:dyDescent="0.3">
      <c r="J71" t="str">
        <v>USA</v>
      </c>
      <c r="K71" t="str">
        <v>Deposit</v>
      </c>
      <c r="L71" t="str">
        <v>Shopping</v>
      </c>
      <c r="M71" t="str">
        <v>USD</v>
      </c>
      <c r="N71">
        <v>874.91</v>
      </c>
      <c r="O71">
        <v>874.91</v>
      </c>
    </row>
    <row r="72" spans="10:15" x14ac:dyDescent="0.3">
      <c r="J72" t="str">
        <v>Australia</v>
      </c>
      <c r="K72" t="str">
        <v>Payment</v>
      </c>
      <c r="L72" t="str">
        <v>Education</v>
      </c>
      <c r="M72" t="str">
        <v>USD</v>
      </c>
      <c r="N72">
        <v>4131.9399999999996</v>
      </c>
      <c r="O72">
        <v>88</v>
      </c>
    </row>
    <row r="73" spans="10:15" x14ac:dyDescent="0.3">
      <c r="J73" t="str">
        <v>Singapore</v>
      </c>
      <c r="K73" t="str">
        <v>Deposit</v>
      </c>
      <c r="L73" t="str">
        <v>Salary</v>
      </c>
      <c r="M73" t="str">
        <v>CNY</v>
      </c>
      <c r="N73">
        <v>80</v>
      </c>
      <c r="O73">
        <v>11.200000000000001</v>
      </c>
    </row>
    <row r="74" spans="10:15" x14ac:dyDescent="0.3">
      <c r="J74" t="str">
        <v>USA</v>
      </c>
      <c r="K74" t="str">
        <v>Deposit</v>
      </c>
      <c r="L74" t="str">
        <v>Salary</v>
      </c>
      <c r="M74" t="str">
        <v>CNY</v>
      </c>
      <c r="N74">
        <v>40</v>
      </c>
      <c r="O74">
        <v>5.6000000000000005</v>
      </c>
    </row>
    <row r="75" spans="10:15" x14ac:dyDescent="0.3">
      <c r="J75" t="str">
        <v>Germany</v>
      </c>
      <c r="K75" t="str">
        <v>Payment</v>
      </c>
      <c r="L75" t="str">
        <v>Insurance</v>
      </c>
      <c r="M75" t="str">
        <v>USD</v>
      </c>
      <c r="N75">
        <v>20</v>
      </c>
      <c r="O75">
        <v>6</v>
      </c>
    </row>
    <row r="76" spans="10:15" x14ac:dyDescent="0.3">
      <c r="J76" t="str">
        <v>Canada</v>
      </c>
      <c r="K76" t="str">
        <v>Payment</v>
      </c>
      <c r="L76" t="str">
        <v>Shopping</v>
      </c>
      <c r="M76" t="str">
        <v>USD</v>
      </c>
      <c r="N76">
        <v>836</v>
      </c>
      <c r="O76">
        <v>836</v>
      </c>
    </row>
    <row r="77" spans="10:15" x14ac:dyDescent="0.3">
      <c r="J77" t="str">
        <v>Canada</v>
      </c>
      <c r="K77" t="str">
        <v>Fee</v>
      </c>
      <c r="L77" t="str">
        <v>Other</v>
      </c>
      <c r="M77" t="str">
        <v>USD</v>
      </c>
      <c r="N77">
        <v>24.12</v>
      </c>
      <c r="O77">
        <v>24.12</v>
      </c>
    </row>
    <row r="78" spans="10:15" x14ac:dyDescent="0.3">
      <c r="J78" t="str">
        <v>Singapore</v>
      </c>
      <c r="K78" t="str">
        <v>Withdrawal</v>
      </c>
      <c r="L78" t="str">
        <v>Dining</v>
      </c>
      <c r="M78" t="str">
        <v>USD</v>
      </c>
      <c r="N78">
        <v>1514.19</v>
      </c>
      <c r="O78">
        <v>1514.19</v>
      </c>
    </row>
    <row r="79" spans="10:15" x14ac:dyDescent="0.3">
      <c r="J79" t="str">
        <v>Germany</v>
      </c>
      <c r="K79" t="str">
        <v>Transfer</v>
      </c>
      <c r="L79" t="str">
        <v>Other</v>
      </c>
      <c r="M79" t="str">
        <v>USD</v>
      </c>
      <c r="N79">
        <v>1113.46</v>
      </c>
      <c r="O79">
        <v>1113.46</v>
      </c>
    </row>
    <row r="80" spans="10:15" x14ac:dyDescent="0.3">
      <c r="J80" t="str">
        <v>Australia</v>
      </c>
      <c r="K80" t="str">
        <v>Deposit</v>
      </c>
      <c r="L80" t="str">
        <v>Investment</v>
      </c>
      <c r="M80" t="str">
        <v>CNY</v>
      </c>
      <c r="N80">
        <v>99</v>
      </c>
      <c r="O80">
        <v>13.860000000000001</v>
      </c>
    </row>
    <row r="81" spans="1:19" x14ac:dyDescent="0.3">
      <c r="J81" t="str">
        <v>Germany</v>
      </c>
      <c r="K81" t="str">
        <v>Transfer</v>
      </c>
      <c r="L81" t="str">
        <v>Other</v>
      </c>
      <c r="M81" t="str">
        <v>USD</v>
      </c>
      <c r="N81">
        <v>45</v>
      </c>
      <c r="O81">
        <v>234</v>
      </c>
    </row>
    <row r="82" spans="1:19" x14ac:dyDescent="0.3">
      <c r="J82" t="str">
        <v>UK</v>
      </c>
      <c r="K82" t="str">
        <v>Loan</v>
      </c>
      <c r="L82" t="str">
        <v>Other</v>
      </c>
      <c r="M82" t="str">
        <v>USD</v>
      </c>
      <c r="N82">
        <v>55</v>
      </c>
      <c r="O82">
        <v>55</v>
      </c>
    </row>
    <row r="83" spans="1:19" x14ac:dyDescent="0.3">
      <c r="J83" t="str">
        <v>UAE</v>
      </c>
      <c r="K83" t="str">
        <v>Payment</v>
      </c>
      <c r="L83" t="str">
        <v>Other</v>
      </c>
      <c r="M83" t="str">
        <v>USD</v>
      </c>
      <c r="N83">
        <v>911.22</v>
      </c>
      <c r="O83">
        <v>911.22</v>
      </c>
    </row>
    <row r="84" spans="1:19" x14ac:dyDescent="0.3">
      <c r="J84" t="str">
        <v>Singapore</v>
      </c>
      <c r="K84" t="str">
        <v>Transfer</v>
      </c>
      <c r="L84" t="str">
        <v>Other</v>
      </c>
      <c r="M84" t="str">
        <v>USD</v>
      </c>
      <c r="N84">
        <v>2581.61</v>
      </c>
      <c r="O84">
        <v>764</v>
      </c>
    </row>
    <row r="90" spans="1:19" x14ac:dyDescent="0.3">
      <c r="A90" s="5" t="str" cm="1">
        <f t="array" ref="A90:S95">TRANSPOSE(A1:F19)</f>
        <v>Country</v>
      </c>
      <c r="B90" t="str">
        <v>UK</v>
      </c>
      <c r="C90" t="str">
        <v>Japan</v>
      </c>
      <c r="D90" t="str">
        <v>Canada</v>
      </c>
      <c r="E90" t="str">
        <v>USA</v>
      </c>
      <c r="F90" t="str">
        <v>USA</v>
      </c>
      <c r="G90" t="str">
        <v>Australia</v>
      </c>
      <c r="H90" t="str">
        <v>Singapore</v>
      </c>
      <c r="I90" t="str">
        <v>USA</v>
      </c>
      <c r="J90" t="str">
        <v>Germany</v>
      </c>
      <c r="K90" t="str">
        <v>Canada</v>
      </c>
      <c r="L90" t="str">
        <v>Canada</v>
      </c>
      <c r="M90" t="str">
        <v>Singapore</v>
      </c>
      <c r="N90" t="str">
        <v>Germany</v>
      </c>
      <c r="O90" t="str">
        <v>Australia</v>
      </c>
      <c r="P90" t="str">
        <v>Germany</v>
      </c>
      <c r="Q90" t="str">
        <v>UK</v>
      </c>
      <c r="R90" t="str">
        <v>UAE</v>
      </c>
      <c r="S90" t="str">
        <v>Singapore</v>
      </c>
    </row>
    <row r="91" spans="1:19" x14ac:dyDescent="0.3">
      <c r="A91" s="5" t="str">
        <v>TransactionType</v>
      </c>
      <c r="B91" t="str">
        <v>Withdrawal</v>
      </c>
      <c r="C91" t="str">
        <v>Fee</v>
      </c>
      <c r="D91" t="str">
        <v>Withdrawal</v>
      </c>
      <c r="E91" t="str">
        <v>Withdrawal</v>
      </c>
      <c r="F91" t="str">
        <v>Deposit</v>
      </c>
      <c r="G91" t="str">
        <v>Payment</v>
      </c>
      <c r="H91" t="str">
        <v>Deposit</v>
      </c>
      <c r="I91" t="str">
        <v>Deposit</v>
      </c>
      <c r="J91" t="str">
        <v>Payment</v>
      </c>
      <c r="K91" t="str">
        <v>Payment</v>
      </c>
      <c r="L91" t="str">
        <v>Fee</v>
      </c>
      <c r="M91" t="str">
        <v>Withdrawal</v>
      </c>
      <c r="N91" t="str">
        <v>Transfer</v>
      </c>
      <c r="O91" t="str">
        <v>Deposit</v>
      </c>
      <c r="P91" t="str">
        <v>Transfer</v>
      </c>
      <c r="Q91" t="str">
        <v>Loan</v>
      </c>
      <c r="R91" t="str">
        <v>Payment</v>
      </c>
      <c r="S91" t="str">
        <v>Transfer</v>
      </c>
    </row>
    <row r="92" spans="1:19" x14ac:dyDescent="0.3">
      <c r="A92" s="5" t="str">
        <v>Category</v>
      </c>
      <c r="B92" t="str">
        <v>Dining</v>
      </c>
      <c r="C92" t="str">
        <v>Other</v>
      </c>
      <c r="D92" t="str">
        <v>Dining</v>
      </c>
      <c r="E92" t="str">
        <v>Entertainment</v>
      </c>
      <c r="F92" t="str">
        <v>Shopping</v>
      </c>
      <c r="G92" t="str">
        <v>Education</v>
      </c>
      <c r="H92" t="str">
        <v>Salary</v>
      </c>
      <c r="I92" t="str">
        <v>Salary</v>
      </c>
      <c r="J92" t="str">
        <v>Insurance</v>
      </c>
      <c r="K92" t="str">
        <v>Shopping</v>
      </c>
      <c r="L92" t="str">
        <v>Other</v>
      </c>
      <c r="M92" t="str">
        <v>Dining</v>
      </c>
      <c r="N92" t="str">
        <v>Other</v>
      </c>
      <c r="O92" t="str">
        <v>Investment</v>
      </c>
      <c r="P92" t="str">
        <v>Other</v>
      </c>
      <c r="Q92" t="str">
        <v>Other</v>
      </c>
      <c r="R92" t="str">
        <v>Other</v>
      </c>
      <c r="S92" t="str">
        <v>Other</v>
      </c>
    </row>
    <row r="93" spans="1:19" x14ac:dyDescent="0.3">
      <c r="A93" s="5" t="str">
        <v>Currency</v>
      </c>
      <c r="B93" t="str">
        <v>EUR</v>
      </c>
      <c r="C93" t="str">
        <v>USD</v>
      </c>
      <c r="D93" t="str">
        <v>USD</v>
      </c>
      <c r="E93" t="str">
        <v>EUR</v>
      </c>
      <c r="F93" t="str">
        <v>USD</v>
      </c>
      <c r="G93" t="str">
        <v>USD</v>
      </c>
      <c r="H93" t="str">
        <v>CNY</v>
      </c>
      <c r="I93" t="str">
        <v>CNY</v>
      </c>
      <c r="J93" t="str">
        <v>USD</v>
      </c>
      <c r="K93" t="str">
        <v>USD</v>
      </c>
      <c r="L93" t="str">
        <v>USD</v>
      </c>
      <c r="M93" t="str">
        <v>USD</v>
      </c>
      <c r="N93" t="str">
        <v>USD</v>
      </c>
      <c r="O93" t="str">
        <v>CNY</v>
      </c>
      <c r="P93" t="str">
        <v>USD</v>
      </c>
      <c r="Q93" t="str">
        <v>USD</v>
      </c>
      <c r="R93" t="str">
        <v>USD</v>
      </c>
      <c r="S93" t="str">
        <v>USD</v>
      </c>
    </row>
    <row r="94" spans="1:19" x14ac:dyDescent="0.3">
      <c r="A94" s="5" t="str">
        <v>Amount</v>
      </c>
      <c r="B94">
        <v>955.8</v>
      </c>
      <c r="C94">
        <v>12.41</v>
      </c>
      <c r="D94">
        <v>1842.59</v>
      </c>
      <c r="E94">
        <v>522.01</v>
      </c>
      <c r="F94">
        <v>874.91</v>
      </c>
      <c r="G94">
        <v>4131.9399999999996</v>
      </c>
      <c r="H94">
        <v>80</v>
      </c>
      <c r="I94">
        <v>40</v>
      </c>
      <c r="J94">
        <v>20</v>
      </c>
      <c r="K94">
        <v>836</v>
      </c>
      <c r="L94">
        <v>24.12</v>
      </c>
      <c r="M94">
        <v>1514.19</v>
      </c>
      <c r="N94">
        <v>1113.46</v>
      </c>
      <c r="O94">
        <v>99</v>
      </c>
      <c r="P94">
        <v>45</v>
      </c>
      <c r="Q94">
        <v>55</v>
      </c>
      <c r="R94">
        <v>911.22</v>
      </c>
      <c r="S94">
        <v>2581.61</v>
      </c>
    </row>
    <row r="95" spans="1:19" x14ac:dyDescent="0.3">
      <c r="A95" s="5" t="str">
        <v>AmountUSD</v>
      </c>
      <c r="B95">
        <v>1032.2640000000001</v>
      </c>
      <c r="C95">
        <v>12.41</v>
      </c>
      <c r="D95">
        <v>1842.59</v>
      </c>
      <c r="E95">
        <v>563.77080000000001</v>
      </c>
      <c r="F95">
        <v>874.91</v>
      </c>
      <c r="G95">
        <v>88</v>
      </c>
      <c r="H95">
        <v>11.200000000000001</v>
      </c>
      <c r="I95">
        <v>5.6000000000000005</v>
      </c>
      <c r="J95">
        <v>6</v>
      </c>
      <c r="K95">
        <v>836</v>
      </c>
      <c r="L95">
        <v>24.12</v>
      </c>
      <c r="M95">
        <v>1514.19</v>
      </c>
      <c r="N95">
        <v>1113.46</v>
      </c>
      <c r="O95">
        <v>13.860000000000001</v>
      </c>
      <c r="P95">
        <v>234</v>
      </c>
      <c r="Q95">
        <v>55</v>
      </c>
      <c r="R95">
        <v>911.22</v>
      </c>
      <c r="S95">
        <v>764</v>
      </c>
    </row>
    <row r="100" spans="1:39" x14ac:dyDescent="0.3">
      <c r="A100" s="5" t="s">
        <v>2</v>
      </c>
      <c r="B100" t="s">
        <v>11</v>
      </c>
      <c r="C100" t="s">
        <v>17</v>
      </c>
      <c r="D100" t="s">
        <v>23</v>
      </c>
      <c r="E100" t="s">
        <v>26</v>
      </c>
      <c r="F100" t="s">
        <v>26</v>
      </c>
      <c r="G100" t="s">
        <v>32</v>
      </c>
      <c r="H100" t="s">
        <v>36</v>
      </c>
      <c r="I100" t="s">
        <v>26</v>
      </c>
      <c r="J100" t="s">
        <v>43</v>
      </c>
      <c r="K100" t="s">
        <v>23</v>
      </c>
      <c r="L100" t="s">
        <v>23</v>
      </c>
      <c r="M100" t="s">
        <v>36</v>
      </c>
      <c r="N100" t="s">
        <v>43</v>
      </c>
      <c r="O100" t="s">
        <v>32</v>
      </c>
      <c r="P100" t="s">
        <v>43</v>
      </c>
      <c r="Q100" t="s">
        <v>11</v>
      </c>
      <c r="R100" t="s">
        <v>57</v>
      </c>
      <c r="S100" t="s">
        <v>36</v>
      </c>
    </row>
    <row r="101" spans="1:39" x14ac:dyDescent="0.3">
      <c r="A101" s="5" t="s">
        <v>3</v>
      </c>
      <c r="B101" t="s">
        <v>12</v>
      </c>
      <c r="C101" t="s">
        <v>18</v>
      </c>
      <c r="D101" t="s">
        <v>12</v>
      </c>
      <c r="E101" t="s">
        <v>12</v>
      </c>
      <c r="F101" t="s">
        <v>37</v>
      </c>
      <c r="G101" t="s">
        <v>33</v>
      </c>
      <c r="H101" t="s">
        <v>37</v>
      </c>
      <c r="I101" t="s">
        <v>37</v>
      </c>
      <c r="J101" t="s">
        <v>33</v>
      </c>
      <c r="K101" t="s">
        <v>33</v>
      </c>
      <c r="L101" t="s">
        <v>18</v>
      </c>
      <c r="M101" t="s">
        <v>12</v>
      </c>
      <c r="N101" t="s">
        <v>49</v>
      </c>
      <c r="O101" t="s">
        <v>37</v>
      </c>
      <c r="P101" t="s">
        <v>49</v>
      </c>
      <c r="Q101" t="s">
        <v>54</v>
      </c>
      <c r="R101" t="s">
        <v>33</v>
      </c>
      <c r="S101" t="s">
        <v>49</v>
      </c>
    </row>
    <row r="102" spans="1:39" x14ac:dyDescent="0.3">
      <c r="A102" s="5" t="s">
        <v>4</v>
      </c>
      <c r="B102" t="s">
        <v>13</v>
      </c>
      <c r="C102" t="s">
        <v>19</v>
      </c>
      <c r="D102" t="s">
        <v>13</v>
      </c>
      <c r="E102" t="s">
        <v>27</v>
      </c>
      <c r="F102" t="s">
        <v>29</v>
      </c>
      <c r="G102" t="s">
        <v>34</v>
      </c>
      <c r="H102" t="s">
        <v>38</v>
      </c>
      <c r="I102" t="s">
        <v>38</v>
      </c>
      <c r="J102" t="s">
        <v>44</v>
      </c>
      <c r="K102" t="s">
        <v>29</v>
      </c>
      <c r="L102" t="s">
        <v>19</v>
      </c>
      <c r="M102" t="s">
        <v>13</v>
      </c>
      <c r="N102" t="s">
        <v>19</v>
      </c>
      <c r="O102" t="s">
        <v>51</v>
      </c>
      <c r="P102" t="s">
        <v>19</v>
      </c>
      <c r="Q102" t="s">
        <v>19</v>
      </c>
      <c r="R102" t="s">
        <v>19</v>
      </c>
      <c r="S102" t="s">
        <v>19</v>
      </c>
    </row>
    <row r="103" spans="1:39" x14ac:dyDescent="0.3">
      <c r="A103" s="5" t="s">
        <v>5</v>
      </c>
      <c r="B103" t="s">
        <v>14</v>
      </c>
      <c r="C103" t="s">
        <v>20</v>
      </c>
      <c r="D103" t="s">
        <v>20</v>
      </c>
      <c r="E103" t="s">
        <v>14</v>
      </c>
      <c r="F103" t="s">
        <v>20</v>
      </c>
      <c r="G103" t="s">
        <v>20</v>
      </c>
      <c r="H103" t="s">
        <v>39</v>
      </c>
      <c r="I103" t="s">
        <v>39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39</v>
      </c>
      <c r="P103" t="s">
        <v>20</v>
      </c>
      <c r="Q103" t="s">
        <v>20</v>
      </c>
      <c r="R103" t="s">
        <v>20</v>
      </c>
      <c r="S103" t="s">
        <v>20</v>
      </c>
    </row>
    <row r="104" spans="1:39" x14ac:dyDescent="0.3">
      <c r="A104" s="5" t="s">
        <v>6</v>
      </c>
      <c r="B104">
        <v>955.8</v>
      </c>
      <c r="C104">
        <v>12.41</v>
      </c>
      <c r="D104">
        <v>1842.59</v>
      </c>
      <c r="E104">
        <v>522.01</v>
      </c>
      <c r="F104">
        <v>874.91</v>
      </c>
      <c r="G104">
        <v>4131.9399999999996</v>
      </c>
      <c r="H104">
        <v>80</v>
      </c>
      <c r="I104">
        <v>40</v>
      </c>
      <c r="J104">
        <v>20</v>
      </c>
      <c r="K104">
        <v>836</v>
      </c>
      <c r="L104">
        <v>24.12</v>
      </c>
      <c r="M104">
        <v>1514.19</v>
      </c>
      <c r="N104">
        <v>1113.46</v>
      </c>
      <c r="O104">
        <v>99</v>
      </c>
      <c r="P104">
        <v>45</v>
      </c>
      <c r="Q104">
        <v>55</v>
      </c>
      <c r="R104">
        <v>911.22</v>
      </c>
      <c r="S104">
        <v>2581.61</v>
      </c>
    </row>
    <row r="105" spans="1:39" x14ac:dyDescent="0.3">
      <c r="A105" s="5" t="s">
        <v>7</v>
      </c>
      <c r="B105">
        <v>1032.2640000000001</v>
      </c>
      <c r="C105">
        <v>12.41</v>
      </c>
      <c r="D105">
        <v>1842.59</v>
      </c>
      <c r="E105">
        <v>563.77080000000001</v>
      </c>
      <c r="F105">
        <v>874.91</v>
      </c>
      <c r="G105">
        <v>88</v>
      </c>
      <c r="H105">
        <v>11.200000000000001</v>
      </c>
      <c r="I105">
        <v>5.6000000000000005</v>
      </c>
      <c r="J105">
        <v>6</v>
      </c>
      <c r="K105">
        <v>836</v>
      </c>
      <c r="L105">
        <v>24.12</v>
      </c>
      <c r="M105">
        <v>1514.19</v>
      </c>
      <c r="N105">
        <v>1113.46</v>
      </c>
      <c r="O105">
        <v>13.860000000000001</v>
      </c>
      <c r="P105">
        <v>234</v>
      </c>
      <c r="Q105">
        <v>55</v>
      </c>
      <c r="R105">
        <v>911.22</v>
      </c>
      <c r="S105">
        <v>764</v>
      </c>
    </row>
    <row r="109" spans="1:39" x14ac:dyDescent="0.3">
      <c r="C109" t="str" cm="1">
        <f t="array" ref="C109:AM114">_xlfn.HSTACK(_xlfn.ANCHORARRAY(A90),B100:S105)</f>
        <v>Country</v>
      </c>
      <c r="D109" t="str">
        <v>UK</v>
      </c>
      <c r="E109" t="str">
        <v>Japan</v>
      </c>
      <c r="F109" t="str">
        <v>Canada</v>
      </c>
      <c r="G109" t="str">
        <v>USA</v>
      </c>
      <c r="H109" t="str">
        <v>USA</v>
      </c>
      <c r="I109" t="str">
        <v>Australia</v>
      </c>
      <c r="J109" t="str">
        <v>Singapore</v>
      </c>
      <c r="K109" t="str">
        <v>USA</v>
      </c>
      <c r="L109" t="str">
        <v>Germany</v>
      </c>
      <c r="M109" t="str">
        <v>Canada</v>
      </c>
      <c r="N109" t="str">
        <v>Canada</v>
      </c>
      <c r="O109" t="str">
        <v>Singapore</v>
      </c>
      <c r="P109" t="str">
        <v>Germany</v>
      </c>
      <c r="Q109" t="str">
        <v>Australia</v>
      </c>
      <c r="R109" t="str">
        <v>Germany</v>
      </c>
      <c r="S109" t="str">
        <v>UK</v>
      </c>
      <c r="T109" t="str">
        <v>UAE</v>
      </c>
      <c r="U109" t="str">
        <v>Singapore</v>
      </c>
      <c r="V109" t="str">
        <v>UK</v>
      </c>
      <c r="W109" t="str">
        <v>Japan</v>
      </c>
      <c r="X109" t="str">
        <v>Canada</v>
      </c>
      <c r="Y109" t="str">
        <v>USA</v>
      </c>
      <c r="Z109" t="str">
        <v>USA</v>
      </c>
      <c r="AA109" t="str">
        <v>Australia</v>
      </c>
      <c r="AB109" t="str">
        <v>Singapore</v>
      </c>
      <c r="AC109" t="str">
        <v>USA</v>
      </c>
      <c r="AD109" t="str">
        <v>Germany</v>
      </c>
      <c r="AE109" t="str">
        <v>Canada</v>
      </c>
      <c r="AF109" t="str">
        <v>Canada</v>
      </c>
      <c r="AG109" t="str">
        <v>Singapore</v>
      </c>
      <c r="AH109" t="str">
        <v>Germany</v>
      </c>
      <c r="AI109" t="str">
        <v>Australia</v>
      </c>
      <c r="AJ109" t="str">
        <v>Germany</v>
      </c>
      <c r="AK109" t="str">
        <v>UK</v>
      </c>
      <c r="AL109" t="str">
        <v>UAE</v>
      </c>
      <c r="AM109" t="str">
        <v>Singapore</v>
      </c>
    </row>
    <row r="110" spans="1:39" x14ac:dyDescent="0.3">
      <c r="C110" t="str">
        <v>TransactionType</v>
      </c>
      <c r="D110" t="str">
        <v>Withdrawal</v>
      </c>
      <c r="E110" t="str">
        <v>Fee</v>
      </c>
      <c r="F110" t="str">
        <v>Withdrawal</v>
      </c>
      <c r="G110" t="str">
        <v>Withdrawal</v>
      </c>
      <c r="H110" t="str">
        <v>Deposit</v>
      </c>
      <c r="I110" t="str">
        <v>Payment</v>
      </c>
      <c r="J110" t="str">
        <v>Deposit</v>
      </c>
      <c r="K110" t="str">
        <v>Deposit</v>
      </c>
      <c r="L110" t="str">
        <v>Payment</v>
      </c>
      <c r="M110" t="str">
        <v>Payment</v>
      </c>
      <c r="N110" t="str">
        <v>Fee</v>
      </c>
      <c r="O110" t="str">
        <v>Withdrawal</v>
      </c>
      <c r="P110" t="str">
        <v>Transfer</v>
      </c>
      <c r="Q110" t="str">
        <v>Deposit</v>
      </c>
      <c r="R110" t="str">
        <v>Transfer</v>
      </c>
      <c r="S110" t="str">
        <v>Loan</v>
      </c>
      <c r="T110" t="str">
        <v>Payment</v>
      </c>
      <c r="U110" t="str">
        <v>Transfer</v>
      </c>
      <c r="V110" t="str">
        <v>Withdrawal</v>
      </c>
      <c r="W110" t="str">
        <v>Fee</v>
      </c>
      <c r="X110" t="str">
        <v>Withdrawal</v>
      </c>
      <c r="Y110" t="str">
        <v>Withdrawal</v>
      </c>
      <c r="Z110" t="str">
        <v>Deposit</v>
      </c>
      <c r="AA110" t="str">
        <v>Payment</v>
      </c>
      <c r="AB110" t="str">
        <v>Deposit</v>
      </c>
      <c r="AC110" t="str">
        <v>Deposit</v>
      </c>
      <c r="AD110" t="str">
        <v>Payment</v>
      </c>
      <c r="AE110" t="str">
        <v>Payment</v>
      </c>
      <c r="AF110" t="str">
        <v>Fee</v>
      </c>
      <c r="AG110" t="str">
        <v>Withdrawal</v>
      </c>
      <c r="AH110" t="str">
        <v>Transfer</v>
      </c>
      <c r="AI110" t="str">
        <v>Deposit</v>
      </c>
      <c r="AJ110" t="str">
        <v>Transfer</v>
      </c>
      <c r="AK110" t="str">
        <v>Loan</v>
      </c>
      <c r="AL110" t="str">
        <v>Payment</v>
      </c>
      <c r="AM110" t="str">
        <v>Transfer</v>
      </c>
    </row>
    <row r="111" spans="1:39" x14ac:dyDescent="0.3">
      <c r="C111" t="str">
        <v>Category</v>
      </c>
      <c r="D111" t="str">
        <v>Dining</v>
      </c>
      <c r="E111" t="str">
        <v>Other</v>
      </c>
      <c r="F111" t="str">
        <v>Dining</v>
      </c>
      <c r="G111" t="str">
        <v>Entertainment</v>
      </c>
      <c r="H111" t="str">
        <v>Shopping</v>
      </c>
      <c r="I111" t="str">
        <v>Education</v>
      </c>
      <c r="J111" t="str">
        <v>Salary</v>
      </c>
      <c r="K111" t="str">
        <v>Salary</v>
      </c>
      <c r="L111" t="str">
        <v>Insurance</v>
      </c>
      <c r="M111" t="str">
        <v>Shopping</v>
      </c>
      <c r="N111" t="str">
        <v>Other</v>
      </c>
      <c r="O111" t="str">
        <v>Dining</v>
      </c>
      <c r="P111" t="str">
        <v>Other</v>
      </c>
      <c r="Q111" t="str">
        <v>Investment</v>
      </c>
      <c r="R111" t="str">
        <v>Other</v>
      </c>
      <c r="S111" t="str">
        <v>Other</v>
      </c>
      <c r="T111" t="str">
        <v>Other</v>
      </c>
      <c r="U111" t="str">
        <v>Other</v>
      </c>
      <c r="V111" t="str">
        <v>Dining</v>
      </c>
      <c r="W111" t="str">
        <v>Other</v>
      </c>
      <c r="X111" t="str">
        <v>Dining</v>
      </c>
      <c r="Y111" t="str">
        <v>Entertainment</v>
      </c>
      <c r="Z111" t="str">
        <v>Shopping</v>
      </c>
      <c r="AA111" t="str">
        <v>Education</v>
      </c>
      <c r="AB111" t="str">
        <v>Salary</v>
      </c>
      <c r="AC111" t="str">
        <v>Salary</v>
      </c>
      <c r="AD111" t="str">
        <v>Insurance</v>
      </c>
      <c r="AE111" t="str">
        <v>Shopping</v>
      </c>
      <c r="AF111" t="str">
        <v>Other</v>
      </c>
      <c r="AG111" t="str">
        <v>Dining</v>
      </c>
      <c r="AH111" t="str">
        <v>Other</v>
      </c>
      <c r="AI111" t="str">
        <v>Investment</v>
      </c>
      <c r="AJ111" t="str">
        <v>Other</v>
      </c>
      <c r="AK111" t="str">
        <v>Other</v>
      </c>
      <c r="AL111" t="str">
        <v>Other</v>
      </c>
      <c r="AM111" t="str">
        <v>Other</v>
      </c>
    </row>
    <row r="112" spans="1:39" x14ac:dyDescent="0.3">
      <c r="C112" t="str">
        <v>Currency</v>
      </c>
      <c r="D112" t="str">
        <v>EUR</v>
      </c>
      <c r="E112" t="str">
        <v>USD</v>
      </c>
      <c r="F112" t="str">
        <v>USD</v>
      </c>
      <c r="G112" t="str">
        <v>EUR</v>
      </c>
      <c r="H112" t="str">
        <v>USD</v>
      </c>
      <c r="I112" t="str">
        <v>USD</v>
      </c>
      <c r="J112" t="str">
        <v>CNY</v>
      </c>
      <c r="K112" t="str">
        <v>CNY</v>
      </c>
      <c r="L112" t="str">
        <v>USD</v>
      </c>
      <c r="M112" t="str">
        <v>USD</v>
      </c>
      <c r="N112" t="str">
        <v>USD</v>
      </c>
      <c r="O112" t="str">
        <v>USD</v>
      </c>
      <c r="P112" t="str">
        <v>USD</v>
      </c>
      <c r="Q112" t="str">
        <v>CNY</v>
      </c>
      <c r="R112" t="str">
        <v>USD</v>
      </c>
      <c r="S112" t="str">
        <v>USD</v>
      </c>
      <c r="T112" t="str">
        <v>USD</v>
      </c>
      <c r="U112" t="str">
        <v>USD</v>
      </c>
      <c r="V112" t="str">
        <v>EUR</v>
      </c>
      <c r="W112" t="str">
        <v>USD</v>
      </c>
      <c r="X112" t="str">
        <v>USD</v>
      </c>
      <c r="Y112" t="str">
        <v>EUR</v>
      </c>
      <c r="Z112" t="str">
        <v>USD</v>
      </c>
      <c r="AA112" t="str">
        <v>USD</v>
      </c>
      <c r="AB112" t="str">
        <v>CNY</v>
      </c>
      <c r="AC112" t="str">
        <v>CNY</v>
      </c>
      <c r="AD112" t="str">
        <v>USD</v>
      </c>
      <c r="AE112" t="str">
        <v>USD</v>
      </c>
      <c r="AF112" t="str">
        <v>USD</v>
      </c>
      <c r="AG112" t="str">
        <v>USD</v>
      </c>
      <c r="AH112" t="str">
        <v>USD</v>
      </c>
      <c r="AI112" t="str">
        <v>CNY</v>
      </c>
      <c r="AJ112" t="str">
        <v>USD</v>
      </c>
      <c r="AK112" t="str">
        <v>USD</v>
      </c>
      <c r="AL112" t="str">
        <v>USD</v>
      </c>
      <c r="AM112" t="str">
        <v>USD</v>
      </c>
    </row>
    <row r="113" spans="2:39" x14ac:dyDescent="0.3">
      <c r="C113" t="str">
        <v>Amount</v>
      </c>
      <c r="D113">
        <v>955.8</v>
      </c>
      <c r="E113">
        <v>12.41</v>
      </c>
      <c r="F113">
        <v>1842.59</v>
      </c>
      <c r="G113">
        <v>522.01</v>
      </c>
      <c r="H113">
        <v>874.91</v>
      </c>
      <c r="I113">
        <v>4131.9399999999996</v>
      </c>
      <c r="J113">
        <v>80</v>
      </c>
      <c r="K113">
        <v>40</v>
      </c>
      <c r="L113">
        <v>20</v>
      </c>
      <c r="M113">
        <v>836</v>
      </c>
      <c r="N113">
        <v>24.12</v>
      </c>
      <c r="O113">
        <v>1514.19</v>
      </c>
      <c r="P113">
        <v>1113.46</v>
      </c>
      <c r="Q113">
        <v>99</v>
      </c>
      <c r="R113">
        <v>45</v>
      </c>
      <c r="S113">
        <v>55</v>
      </c>
      <c r="T113">
        <v>911.22</v>
      </c>
      <c r="U113">
        <v>2581.61</v>
      </c>
      <c r="V113">
        <v>955.8</v>
      </c>
      <c r="W113">
        <v>12.41</v>
      </c>
      <c r="X113">
        <v>1842.59</v>
      </c>
      <c r="Y113">
        <v>522.01</v>
      </c>
      <c r="Z113">
        <v>874.91</v>
      </c>
      <c r="AA113">
        <v>4131.9399999999996</v>
      </c>
      <c r="AB113">
        <v>80</v>
      </c>
      <c r="AC113">
        <v>40</v>
      </c>
      <c r="AD113">
        <v>20</v>
      </c>
      <c r="AE113">
        <v>836</v>
      </c>
      <c r="AF113">
        <v>24.12</v>
      </c>
      <c r="AG113">
        <v>1514.19</v>
      </c>
      <c r="AH113">
        <v>1113.46</v>
      </c>
      <c r="AI113">
        <v>99</v>
      </c>
      <c r="AJ113">
        <v>45</v>
      </c>
      <c r="AK113">
        <v>55</v>
      </c>
      <c r="AL113">
        <v>911.22</v>
      </c>
      <c r="AM113">
        <v>2581.61</v>
      </c>
    </row>
    <row r="114" spans="2:39" x14ac:dyDescent="0.3">
      <c r="C114" t="str">
        <v>AmountUSD</v>
      </c>
      <c r="D114">
        <v>1032.2640000000001</v>
      </c>
      <c r="E114">
        <v>12.41</v>
      </c>
      <c r="F114">
        <v>1842.59</v>
      </c>
      <c r="G114">
        <v>563.77080000000001</v>
      </c>
      <c r="H114">
        <v>874.91</v>
      </c>
      <c r="I114">
        <v>88</v>
      </c>
      <c r="J114">
        <v>11.200000000000001</v>
      </c>
      <c r="K114">
        <v>5.6000000000000005</v>
      </c>
      <c r="L114">
        <v>6</v>
      </c>
      <c r="M114">
        <v>836</v>
      </c>
      <c r="N114">
        <v>24.12</v>
      </c>
      <c r="O114">
        <v>1514.19</v>
      </c>
      <c r="P114">
        <v>1113.46</v>
      </c>
      <c r="Q114">
        <v>13.860000000000001</v>
      </c>
      <c r="R114">
        <v>234</v>
      </c>
      <c r="S114">
        <v>55</v>
      </c>
      <c r="T114">
        <v>911.22</v>
      </c>
      <c r="U114">
        <v>764</v>
      </c>
      <c r="V114">
        <v>1032.2640000000001</v>
      </c>
      <c r="W114">
        <v>12.41</v>
      </c>
      <c r="X114">
        <v>1842.59</v>
      </c>
      <c r="Y114">
        <v>563.77080000000001</v>
      </c>
      <c r="Z114">
        <v>874.91</v>
      </c>
      <c r="AA114">
        <v>88</v>
      </c>
      <c r="AB114">
        <v>11.200000000000001</v>
      </c>
      <c r="AC114">
        <v>5.6000000000000005</v>
      </c>
      <c r="AD114">
        <v>6</v>
      </c>
      <c r="AE114">
        <v>836</v>
      </c>
      <c r="AF114">
        <v>24.12</v>
      </c>
      <c r="AG114">
        <v>1514.19</v>
      </c>
      <c r="AH114">
        <v>1113.46</v>
      </c>
      <c r="AI114">
        <v>13.860000000000001</v>
      </c>
      <c r="AJ114">
        <v>234</v>
      </c>
      <c r="AK114">
        <v>55</v>
      </c>
      <c r="AL114">
        <v>911.22</v>
      </c>
      <c r="AM114">
        <v>764</v>
      </c>
    </row>
    <row r="119" spans="2:39" x14ac:dyDescent="0.3">
      <c r="B119" t="str" cm="1">
        <f t="array" ref="B119:B232">_xlfn.TOCOL(A28:F46)</f>
        <v>Country</v>
      </c>
    </row>
    <row r="120" spans="2:39" x14ac:dyDescent="0.3">
      <c r="B120" t="str">
        <v>TransactionType</v>
      </c>
      <c r="E120" s="5" t="str" cm="1">
        <f t="array" ref="E120:W125">_xlfn.WRAPCOLS(_xlfn.ANCHORARRAY(B119),6)</f>
        <v>Country</v>
      </c>
      <c r="F120" t="str">
        <v>UK</v>
      </c>
      <c r="G120" t="str">
        <v>Japan</v>
      </c>
      <c r="H120" t="str">
        <v>Canada</v>
      </c>
      <c r="I120" t="str">
        <v>USA</v>
      </c>
      <c r="J120" t="str">
        <v>USA</v>
      </c>
      <c r="K120" t="str">
        <v>Australia</v>
      </c>
      <c r="L120" t="str">
        <v>Singapore</v>
      </c>
      <c r="M120" t="str">
        <v>USA</v>
      </c>
      <c r="N120" t="str">
        <v>Germany</v>
      </c>
      <c r="O120" t="str">
        <v>Canada</v>
      </c>
      <c r="P120" t="str">
        <v>Canada</v>
      </c>
      <c r="Q120" t="str">
        <v>Singapore</v>
      </c>
      <c r="R120" t="str">
        <v>Germany</v>
      </c>
      <c r="S120" t="str">
        <v>Australia</v>
      </c>
      <c r="T120" t="str">
        <v>Germany</v>
      </c>
      <c r="U120" t="str">
        <v>UK</v>
      </c>
      <c r="V120" t="str">
        <v>UAE</v>
      </c>
      <c r="W120" t="str">
        <v>Singapore</v>
      </c>
    </row>
    <row r="121" spans="2:39" x14ac:dyDescent="0.3">
      <c r="B121" t="str">
        <v>Category</v>
      </c>
      <c r="E121" s="5" t="str">
        <v>TransactionType</v>
      </c>
      <c r="F121" t="str">
        <v>Withdrawal</v>
      </c>
      <c r="G121" t="str">
        <v>Fee</v>
      </c>
      <c r="H121" t="str">
        <v>Withdrawal</v>
      </c>
      <c r="I121" t="str">
        <v>Withdrawal</v>
      </c>
      <c r="J121" t="str">
        <v>Deposit</v>
      </c>
      <c r="K121" t="str">
        <v>Payment</v>
      </c>
      <c r="L121" t="str">
        <v>Deposit</v>
      </c>
      <c r="M121" t="str">
        <v>Deposit</v>
      </c>
      <c r="N121" t="str">
        <v>Payment</v>
      </c>
      <c r="O121" t="str">
        <v>Payment</v>
      </c>
      <c r="P121" t="str">
        <v>Fee</v>
      </c>
      <c r="Q121" t="str">
        <v>Withdrawal</v>
      </c>
      <c r="R121" t="str">
        <v>Transfer</v>
      </c>
      <c r="S121" t="str">
        <v>Deposit</v>
      </c>
      <c r="T121" t="str">
        <v>Transfer</v>
      </c>
      <c r="U121" t="str">
        <v>Loan</v>
      </c>
      <c r="V121" t="str">
        <v>Payment</v>
      </c>
      <c r="W121" t="str">
        <v>Transfer</v>
      </c>
    </row>
    <row r="122" spans="2:39" x14ac:dyDescent="0.3">
      <c r="B122" t="str">
        <v>Currency</v>
      </c>
      <c r="E122" s="5" t="str">
        <v>Category</v>
      </c>
      <c r="F122" t="str">
        <v>Dining</v>
      </c>
      <c r="G122" t="str">
        <v>Other</v>
      </c>
      <c r="H122" t="str">
        <v>Dining</v>
      </c>
      <c r="I122" t="str">
        <v>Entertainment</v>
      </c>
      <c r="J122" t="str">
        <v>Shopping</v>
      </c>
      <c r="K122" t="str">
        <v>Education</v>
      </c>
      <c r="L122" t="str">
        <v>Salary</v>
      </c>
      <c r="M122" t="str">
        <v>Salary</v>
      </c>
      <c r="N122" t="str">
        <v>Insurance</v>
      </c>
      <c r="O122" t="str">
        <v>Shopping</v>
      </c>
      <c r="P122" t="str">
        <v>Other</v>
      </c>
      <c r="Q122" t="str">
        <v>Dining</v>
      </c>
      <c r="R122" t="str">
        <v>Other</v>
      </c>
      <c r="S122" t="str">
        <v>Investment</v>
      </c>
      <c r="T122" t="str">
        <v>Other</v>
      </c>
      <c r="U122" t="str">
        <v>Other</v>
      </c>
      <c r="V122" t="str">
        <v>Other</v>
      </c>
      <c r="W122" t="str">
        <v>Other</v>
      </c>
    </row>
    <row r="123" spans="2:39" x14ac:dyDescent="0.3">
      <c r="B123" t="str">
        <v>Amount</v>
      </c>
      <c r="E123" s="5" t="str">
        <v>Currency</v>
      </c>
      <c r="F123" t="str">
        <v>EUR</v>
      </c>
      <c r="G123" t="str">
        <v>USD</v>
      </c>
      <c r="H123" t="str">
        <v>USD</v>
      </c>
      <c r="I123" t="str">
        <v>EUR</v>
      </c>
      <c r="J123" t="str">
        <v>USD</v>
      </c>
      <c r="K123" t="str">
        <v>USD</v>
      </c>
      <c r="L123" t="str">
        <v>CNY</v>
      </c>
      <c r="M123" t="str">
        <v>CNY</v>
      </c>
      <c r="N123" t="str">
        <v>USD</v>
      </c>
      <c r="O123" t="str">
        <v>USD</v>
      </c>
      <c r="P123" t="str">
        <v>USD</v>
      </c>
      <c r="Q123" t="str">
        <v>USD</v>
      </c>
      <c r="R123" t="str">
        <v>USD</v>
      </c>
      <c r="S123" t="str">
        <v>CNY</v>
      </c>
      <c r="T123" t="str">
        <v>USD</v>
      </c>
      <c r="U123" t="str">
        <v>USD</v>
      </c>
      <c r="V123" t="str">
        <v>USD</v>
      </c>
      <c r="W123" t="str">
        <v>USD</v>
      </c>
    </row>
    <row r="124" spans="2:39" x14ac:dyDescent="0.3">
      <c r="B124" t="str">
        <v>AmountUSD</v>
      </c>
      <c r="E124" s="5" t="str">
        <v>Amount</v>
      </c>
      <c r="F124">
        <v>955.8</v>
      </c>
      <c r="G124">
        <v>12.41</v>
      </c>
      <c r="H124">
        <v>1842.59</v>
      </c>
      <c r="I124">
        <v>522.01</v>
      </c>
      <c r="J124">
        <v>874.91</v>
      </c>
      <c r="K124">
        <v>4131.9399999999996</v>
      </c>
      <c r="L124">
        <v>80</v>
      </c>
      <c r="M124">
        <v>40</v>
      </c>
      <c r="N124">
        <v>20</v>
      </c>
      <c r="O124">
        <v>836</v>
      </c>
      <c r="P124">
        <v>24.12</v>
      </c>
      <c r="Q124">
        <v>1514.19</v>
      </c>
      <c r="R124">
        <v>1113.46</v>
      </c>
      <c r="S124">
        <v>99</v>
      </c>
      <c r="T124">
        <v>45</v>
      </c>
      <c r="U124">
        <v>55</v>
      </c>
      <c r="V124">
        <v>911.22</v>
      </c>
      <c r="W124">
        <v>2581.61</v>
      </c>
    </row>
    <row r="125" spans="2:39" x14ac:dyDescent="0.3">
      <c r="B125" t="str">
        <v>UK</v>
      </c>
      <c r="E125" s="5" t="str">
        <v>AmountUSD</v>
      </c>
      <c r="F125">
        <v>1032.2640000000001</v>
      </c>
      <c r="G125">
        <v>12.41</v>
      </c>
      <c r="H125">
        <v>1842.59</v>
      </c>
      <c r="I125">
        <v>563.77080000000001</v>
      </c>
      <c r="J125">
        <v>874.91</v>
      </c>
      <c r="K125">
        <v>88</v>
      </c>
      <c r="L125">
        <v>11.200000000000001</v>
      </c>
      <c r="M125">
        <v>5.6000000000000005</v>
      </c>
      <c r="N125">
        <v>6</v>
      </c>
      <c r="O125">
        <v>836</v>
      </c>
      <c r="P125">
        <v>24.12</v>
      </c>
      <c r="Q125">
        <v>1514.19</v>
      </c>
      <c r="R125">
        <v>1113.46</v>
      </c>
      <c r="S125">
        <v>13.860000000000001</v>
      </c>
      <c r="T125">
        <v>234</v>
      </c>
      <c r="U125">
        <v>55</v>
      </c>
      <c r="V125">
        <v>911.22</v>
      </c>
      <c r="W125">
        <v>764</v>
      </c>
    </row>
    <row r="126" spans="2:39" x14ac:dyDescent="0.3">
      <c r="B126" t="str">
        <v>Withdrawal</v>
      </c>
      <c r="E126" s="5"/>
    </row>
    <row r="127" spans="2:39" x14ac:dyDescent="0.3">
      <c r="B127" t="str">
        <v>Dining</v>
      </c>
      <c r="E127" s="5"/>
    </row>
    <row r="128" spans="2:39" x14ac:dyDescent="0.3">
      <c r="B128" t="str">
        <v>EUR</v>
      </c>
      <c r="E128" s="5" t="str" cm="1">
        <f t="array" ref="E128:J146">TRANSPOSE(_xlfn.WRAPCOLS(_xlfn.ANCHORARRAY(B119),6))</f>
        <v>Country</v>
      </c>
      <c r="F128" s="5" t="str">
        <v>TransactionType</v>
      </c>
      <c r="G128" s="5" t="str">
        <v>Category</v>
      </c>
      <c r="H128" s="5" t="str">
        <v>Currency</v>
      </c>
      <c r="I128" s="5" t="str">
        <v>Amount</v>
      </c>
      <c r="J128" s="5" t="str">
        <v>AmountUSD</v>
      </c>
    </row>
    <row r="129" spans="2:10" x14ac:dyDescent="0.3">
      <c r="B129">
        <v>955.8</v>
      </c>
      <c r="E129" s="5" t="str">
        <v>UK</v>
      </c>
      <c r="F129" t="str">
        <v>Withdrawal</v>
      </c>
      <c r="G129" t="str">
        <v>Dining</v>
      </c>
      <c r="H129" t="str">
        <v>EUR</v>
      </c>
      <c r="I129">
        <v>955.8</v>
      </c>
      <c r="J129">
        <v>1032.2640000000001</v>
      </c>
    </row>
    <row r="130" spans="2:10" x14ac:dyDescent="0.3">
      <c r="B130">
        <v>1032.2640000000001</v>
      </c>
      <c r="E130" t="str">
        <v>Japan</v>
      </c>
      <c r="F130" t="str">
        <v>Fee</v>
      </c>
      <c r="G130" t="str">
        <v>Other</v>
      </c>
      <c r="H130" t="str">
        <v>USD</v>
      </c>
      <c r="I130">
        <v>12.41</v>
      </c>
      <c r="J130">
        <v>12.41</v>
      </c>
    </row>
    <row r="131" spans="2:10" x14ac:dyDescent="0.3">
      <c r="B131" t="str">
        <v>Japan</v>
      </c>
      <c r="E131" t="str">
        <v>Canada</v>
      </c>
      <c r="F131" t="str">
        <v>Withdrawal</v>
      </c>
      <c r="G131" t="str">
        <v>Dining</v>
      </c>
      <c r="H131" t="str">
        <v>USD</v>
      </c>
      <c r="I131">
        <v>1842.59</v>
      </c>
      <c r="J131">
        <v>1842.59</v>
      </c>
    </row>
    <row r="132" spans="2:10" x14ac:dyDescent="0.3">
      <c r="B132" t="str">
        <v>Fee</v>
      </c>
      <c r="E132" t="str">
        <v>USA</v>
      </c>
      <c r="F132" t="str">
        <v>Withdrawal</v>
      </c>
      <c r="G132" t="str">
        <v>Entertainment</v>
      </c>
      <c r="H132" t="str">
        <v>EUR</v>
      </c>
      <c r="I132">
        <v>522.01</v>
      </c>
      <c r="J132">
        <v>563.77080000000001</v>
      </c>
    </row>
    <row r="133" spans="2:10" x14ac:dyDescent="0.3">
      <c r="B133" t="str">
        <v>Other</v>
      </c>
      <c r="E133" t="str">
        <v>USA</v>
      </c>
      <c r="F133" t="str">
        <v>Deposit</v>
      </c>
      <c r="G133" t="str">
        <v>Shopping</v>
      </c>
      <c r="H133" t="str">
        <v>USD</v>
      </c>
      <c r="I133">
        <v>874.91</v>
      </c>
      <c r="J133">
        <v>874.91</v>
      </c>
    </row>
    <row r="134" spans="2:10" x14ac:dyDescent="0.3">
      <c r="B134" t="str">
        <v>USD</v>
      </c>
      <c r="E134" t="str">
        <v>Australia</v>
      </c>
      <c r="F134" t="str">
        <v>Payment</v>
      </c>
      <c r="G134" t="str">
        <v>Education</v>
      </c>
      <c r="H134" t="str">
        <v>USD</v>
      </c>
      <c r="I134">
        <v>4131.9399999999996</v>
      </c>
      <c r="J134">
        <v>88</v>
      </c>
    </row>
    <row r="135" spans="2:10" x14ac:dyDescent="0.3">
      <c r="B135">
        <v>12.41</v>
      </c>
      <c r="E135" t="str">
        <v>Singapore</v>
      </c>
      <c r="F135" t="str">
        <v>Deposit</v>
      </c>
      <c r="G135" t="str">
        <v>Salary</v>
      </c>
      <c r="H135" t="str">
        <v>CNY</v>
      </c>
      <c r="I135">
        <v>80</v>
      </c>
      <c r="J135">
        <v>11.200000000000001</v>
      </c>
    </row>
    <row r="136" spans="2:10" x14ac:dyDescent="0.3">
      <c r="B136">
        <v>12.41</v>
      </c>
      <c r="E136" t="str">
        <v>USA</v>
      </c>
      <c r="F136" t="str">
        <v>Deposit</v>
      </c>
      <c r="G136" t="str">
        <v>Salary</v>
      </c>
      <c r="H136" t="str">
        <v>CNY</v>
      </c>
      <c r="I136">
        <v>40</v>
      </c>
      <c r="J136">
        <v>5.6000000000000005</v>
      </c>
    </row>
    <row r="137" spans="2:10" x14ac:dyDescent="0.3">
      <c r="B137" t="str">
        <v>Canada</v>
      </c>
      <c r="E137" t="str">
        <v>Germany</v>
      </c>
      <c r="F137" t="str">
        <v>Payment</v>
      </c>
      <c r="G137" t="str">
        <v>Insurance</v>
      </c>
      <c r="H137" t="str">
        <v>USD</v>
      </c>
      <c r="I137">
        <v>20</v>
      </c>
      <c r="J137">
        <v>6</v>
      </c>
    </row>
    <row r="138" spans="2:10" x14ac:dyDescent="0.3">
      <c r="B138" t="str">
        <v>Withdrawal</v>
      </c>
      <c r="E138" t="str">
        <v>Canada</v>
      </c>
      <c r="F138" t="str">
        <v>Payment</v>
      </c>
      <c r="G138" t="str">
        <v>Shopping</v>
      </c>
      <c r="H138" t="str">
        <v>USD</v>
      </c>
      <c r="I138">
        <v>836</v>
      </c>
      <c r="J138">
        <v>836</v>
      </c>
    </row>
    <row r="139" spans="2:10" x14ac:dyDescent="0.3">
      <c r="B139" t="str">
        <v>Dining</v>
      </c>
      <c r="E139" t="str">
        <v>Canada</v>
      </c>
      <c r="F139" t="str">
        <v>Fee</v>
      </c>
      <c r="G139" t="str">
        <v>Other</v>
      </c>
      <c r="H139" t="str">
        <v>USD</v>
      </c>
      <c r="I139">
        <v>24.12</v>
      </c>
      <c r="J139">
        <v>24.12</v>
      </c>
    </row>
    <row r="140" spans="2:10" x14ac:dyDescent="0.3">
      <c r="B140" t="str">
        <v>USD</v>
      </c>
      <c r="E140" t="str">
        <v>Singapore</v>
      </c>
      <c r="F140" t="str">
        <v>Withdrawal</v>
      </c>
      <c r="G140" t="str">
        <v>Dining</v>
      </c>
      <c r="H140" t="str">
        <v>USD</v>
      </c>
      <c r="I140">
        <v>1514.19</v>
      </c>
      <c r="J140">
        <v>1514.19</v>
      </c>
    </row>
    <row r="141" spans="2:10" x14ac:dyDescent="0.3">
      <c r="B141">
        <v>1842.59</v>
      </c>
      <c r="E141" t="str">
        <v>Germany</v>
      </c>
      <c r="F141" t="str">
        <v>Transfer</v>
      </c>
      <c r="G141" t="str">
        <v>Other</v>
      </c>
      <c r="H141" t="str">
        <v>USD</v>
      </c>
      <c r="I141">
        <v>1113.46</v>
      </c>
      <c r="J141">
        <v>1113.46</v>
      </c>
    </row>
    <row r="142" spans="2:10" x14ac:dyDescent="0.3">
      <c r="B142">
        <v>1842.59</v>
      </c>
      <c r="E142" t="str">
        <v>Australia</v>
      </c>
      <c r="F142" t="str">
        <v>Deposit</v>
      </c>
      <c r="G142" t="str">
        <v>Investment</v>
      </c>
      <c r="H142" t="str">
        <v>CNY</v>
      </c>
      <c r="I142">
        <v>99</v>
      </c>
      <c r="J142">
        <v>13.860000000000001</v>
      </c>
    </row>
    <row r="143" spans="2:10" x14ac:dyDescent="0.3">
      <c r="B143" t="str">
        <v>USA</v>
      </c>
      <c r="E143" t="str">
        <v>Germany</v>
      </c>
      <c r="F143" t="str">
        <v>Transfer</v>
      </c>
      <c r="G143" t="str">
        <v>Other</v>
      </c>
      <c r="H143" t="str">
        <v>USD</v>
      </c>
      <c r="I143">
        <v>45</v>
      </c>
      <c r="J143">
        <v>234</v>
      </c>
    </row>
    <row r="144" spans="2:10" x14ac:dyDescent="0.3">
      <c r="B144" t="str">
        <v>Withdrawal</v>
      </c>
      <c r="E144" t="str">
        <v>UK</v>
      </c>
      <c r="F144" t="str">
        <v>Loan</v>
      </c>
      <c r="G144" t="str">
        <v>Other</v>
      </c>
      <c r="H144" t="str">
        <v>USD</v>
      </c>
      <c r="I144">
        <v>55</v>
      </c>
      <c r="J144">
        <v>55</v>
      </c>
    </row>
    <row r="145" spans="2:118" x14ac:dyDescent="0.3">
      <c r="B145" t="str">
        <v>Entertainment</v>
      </c>
      <c r="E145" t="str">
        <v>UAE</v>
      </c>
      <c r="F145" t="str">
        <v>Payment</v>
      </c>
      <c r="G145" t="str">
        <v>Other</v>
      </c>
      <c r="H145" t="str">
        <v>USD</v>
      </c>
      <c r="I145">
        <v>911.22</v>
      </c>
      <c r="J145">
        <v>911.22</v>
      </c>
    </row>
    <row r="146" spans="2:118" x14ac:dyDescent="0.3">
      <c r="B146" t="str">
        <v>EUR</v>
      </c>
      <c r="E146" t="str">
        <v>Singapore</v>
      </c>
      <c r="F146" t="str">
        <v>Transfer</v>
      </c>
      <c r="G146" t="str">
        <v>Other</v>
      </c>
      <c r="H146" t="str">
        <v>USD</v>
      </c>
      <c r="I146">
        <v>2581.61</v>
      </c>
      <c r="J146">
        <v>764</v>
      </c>
    </row>
    <row r="147" spans="2:118" x14ac:dyDescent="0.3">
      <c r="B147">
        <v>522.01</v>
      </c>
    </row>
    <row r="148" spans="2:118" x14ac:dyDescent="0.3">
      <c r="B148">
        <v>563.77080000000001</v>
      </c>
    </row>
    <row r="149" spans="2:118" x14ac:dyDescent="0.3">
      <c r="B149" t="str">
        <v>USA</v>
      </c>
    </row>
    <row r="150" spans="2:118" x14ac:dyDescent="0.3">
      <c r="B150" t="str">
        <v>Deposit</v>
      </c>
    </row>
    <row r="151" spans="2:118" x14ac:dyDescent="0.3">
      <c r="B151" t="str">
        <v>Shopping</v>
      </c>
      <c r="E151" t="str" cm="1">
        <f t="array" ref="E151:DN151">_xlfn.TOROW(_xlfn.ANCHORARRAY(E128))</f>
        <v>Country</v>
      </c>
      <c r="F151" t="str">
        <v>TransactionType</v>
      </c>
      <c r="G151" t="str">
        <v>Category</v>
      </c>
      <c r="H151" t="str">
        <v>Currency</v>
      </c>
      <c r="I151" t="str">
        <v>Amount</v>
      </c>
      <c r="J151" t="str">
        <v>AmountUSD</v>
      </c>
      <c r="K151" t="str">
        <v>UK</v>
      </c>
      <c r="L151" t="str">
        <v>Withdrawal</v>
      </c>
      <c r="M151" t="str">
        <v>Dining</v>
      </c>
      <c r="N151" t="str">
        <v>EUR</v>
      </c>
      <c r="O151">
        <v>955.8</v>
      </c>
      <c r="P151">
        <v>1032.2640000000001</v>
      </c>
      <c r="Q151" t="str">
        <v>Japan</v>
      </c>
      <c r="R151" t="str">
        <v>Fee</v>
      </c>
      <c r="S151" t="str">
        <v>Other</v>
      </c>
      <c r="T151" t="str">
        <v>USD</v>
      </c>
      <c r="U151">
        <v>12.41</v>
      </c>
      <c r="V151">
        <v>12.41</v>
      </c>
      <c r="W151" t="str">
        <v>Canada</v>
      </c>
      <c r="X151" t="str">
        <v>Withdrawal</v>
      </c>
      <c r="Y151" t="str">
        <v>Dining</v>
      </c>
      <c r="Z151" t="str">
        <v>USD</v>
      </c>
      <c r="AA151">
        <v>1842.59</v>
      </c>
      <c r="AB151">
        <v>1842.59</v>
      </c>
      <c r="AC151" t="str">
        <v>USA</v>
      </c>
      <c r="AD151" t="str">
        <v>Withdrawal</v>
      </c>
      <c r="AE151" t="str">
        <v>Entertainment</v>
      </c>
      <c r="AF151" t="str">
        <v>EUR</v>
      </c>
      <c r="AG151">
        <v>522.01</v>
      </c>
      <c r="AH151">
        <v>563.77080000000001</v>
      </c>
      <c r="AI151" t="str">
        <v>USA</v>
      </c>
      <c r="AJ151" t="str">
        <v>Deposit</v>
      </c>
      <c r="AK151" t="str">
        <v>Shopping</v>
      </c>
      <c r="AL151" t="str">
        <v>USD</v>
      </c>
      <c r="AM151">
        <v>874.91</v>
      </c>
      <c r="AN151">
        <v>874.91</v>
      </c>
      <c r="AO151" t="str">
        <v>Australia</v>
      </c>
      <c r="AP151" t="str">
        <v>Payment</v>
      </c>
      <c r="AQ151" t="str">
        <v>Education</v>
      </c>
      <c r="AR151" t="str">
        <v>USD</v>
      </c>
      <c r="AS151">
        <v>4131.9399999999996</v>
      </c>
      <c r="AT151">
        <v>88</v>
      </c>
      <c r="AU151" t="str">
        <v>Singapore</v>
      </c>
      <c r="AV151" t="str">
        <v>Deposit</v>
      </c>
      <c r="AW151" t="str">
        <v>Salary</v>
      </c>
      <c r="AX151" t="str">
        <v>CNY</v>
      </c>
      <c r="AY151">
        <v>80</v>
      </c>
      <c r="AZ151">
        <v>11.200000000000001</v>
      </c>
      <c r="BA151" t="str">
        <v>USA</v>
      </c>
      <c r="BB151" t="str">
        <v>Deposit</v>
      </c>
      <c r="BC151" t="str">
        <v>Salary</v>
      </c>
      <c r="BD151" t="str">
        <v>CNY</v>
      </c>
      <c r="BE151">
        <v>40</v>
      </c>
      <c r="BF151">
        <v>5.6000000000000005</v>
      </c>
      <c r="BG151" t="str">
        <v>Germany</v>
      </c>
      <c r="BH151" t="str">
        <v>Payment</v>
      </c>
      <c r="BI151" t="str">
        <v>Insurance</v>
      </c>
      <c r="BJ151" t="str">
        <v>USD</v>
      </c>
      <c r="BK151">
        <v>20</v>
      </c>
      <c r="BL151">
        <v>6</v>
      </c>
      <c r="BM151" t="str">
        <v>Canada</v>
      </c>
      <c r="BN151" t="str">
        <v>Payment</v>
      </c>
      <c r="BO151" t="str">
        <v>Shopping</v>
      </c>
      <c r="BP151" t="str">
        <v>USD</v>
      </c>
      <c r="BQ151">
        <v>836</v>
      </c>
      <c r="BR151">
        <v>836</v>
      </c>
      <c r="BS151" t="str">
        <v>Canada</v>
      </c>
      <c r="BT151" t="str">
        <v>Fee</v>
      </c>
      <c r="BU151" t="str">
        <v>Other</v>
      </c>
      <c r="BV151" t="str">
        <v>USD</v>
      </c>
      <c r="BW151">
        <v>24.12</v>
      </c>
      <c r="BX151">
        <v>24.12</v>
      </c>
      <c r="BY151" t="str">
        <v>Singapore</v>
      </c>
      <c r="BZ151" t="str">
        <v>Withdrawal</v>
      </c>
      <c r="CA151" t="str">
        <v>Dining</v>
      </c>
      <c r="CB151" t="str">
        <v>USD</v>
      </c>
      <c r="CC151">
        <v>1514.19</v>
      </c>
      <c r="CD151">
        <v>1514.19</v>
      </c>
      <c r="CE151" t="str">
        <v>Germany</v>
      </c>
      <c r="CF151" t="str">
        <v>Transfer</v>
      </c>
      <c r="CG151" t="str">
        <v>Other</v>
      </c>
      <c r="CH151" t="str">
        <v>USD</v>
      </c>
      <c r="CI151">
        <v>1113.46</v>
      </c>
      <c r="CJ151">
        <v>1113.46</v>
      </c>
      <c r="CK151" t="str">
        <v>Australia</v>
      </c>
      <c r="CL151" t="str">
        <v>Deposit</v>
      </c>
      <c r="CM151" t="str">
        <v>Investment</v>
      </c>
      <c r="CN151" t="str">
        <v>CNY</v>
      </c>
      <c r="CO151">
        <v>99</v>
      </c>
      <c r="CP151">
        <v>13.860000000000001</v>
      </c>
      <c r="CQ151" t="str">
        <v>Germany</v>
      </c>
      <c r="CR151" t="str">
        <v>Transfer</v>
      </c>
      <c r="CS151" t="str">
        <v>Other</v>
      </c>
      <c r="CT151" t="str">
        <v>USD</v>
      </c>
      <c r="CU151">
        <v>45</v>
      </c>
      <c r="CV151">
        <v>234</v>
      </c>
      <c r="CW151" t="str">
        <v>UK</v>
      </c>
      <c r="CX151" t="str">
        <v>Loan</v>
      </c>
      <c r="CY151" t="str">
        <v>Other</v>
      </c>
      <c r="CZ151" t="str">
        <v>USD</v>
      </c>
      <c r="DA151">
        <v>55</v>
      </c>
      <c r="DB151">
        <v>55</v>
      </c>
      <c r="DC151" t="str">
        <v>UAE</v>
      </c>
      <c r="DD151" t="str">
        <v>Payment</v>
      </c>
      <c r="DE151" t="str">
        <v>Other</v>
      </c>
      <c r="DF151" t="str">
        <v>USD</v>
      </c>
      <c r="DG151">
        <v>911.22</v>
      </c>
      <c r="DH151">
        <v>911.22</v>
      </c>
      <c r="DI151" t="str">
        <v>Singapore</v>
      </c>
      <c r="DJ151" t="str">
        <v>Transfer</v>
      </c>
      <c r="DK151" t="str">
        <v>Other</v>
      </c>
      <c r="DL151" t="str">
        <v>USD</v>
      </c>
      <c r="DM151">
        <v>2581.61</v>
      </c>
      <c r="DN151">
        <v>764</v>
      </c>
    </row>
    <row r="152" spans="2:118" x14ac:dyDescent="0.3">
      <c r="B152" t="str">
        <v>USD</v>
      </c>
    </row>
    <row r="153" spans="2:118" x14ac:dyDescent="0.3">
      <c r="B153">
        <v>874.91</v>
      </c>
    </row>
    <row r="154" spans="2:118" x14ac:dyDescent="0.3">
      <c r="B154">
        <v>874.91</v>
      </c>
    </row>
    <row r="155" spans="2:118" x14ac:dyDescent="0.3">
      <c r="B155" t="str">
        <v>Australia</v>
      </c>
    </row>
    <row r="156" spans="2:118" x14ac:dyDescent="0.3">
      <c r="B156" t="str">
        <v>Payment</v>
      </c>
    </row>
    <row r="157" spans="2:118" x14ac:dyDescent="0.3">
      <c r="B157" t="str">
        <v>Education</v>
      </c>
    </row>
    <row r="158" spans="2:118" x14ac:dyDescent="0.3">
      <c r="B158" t="str">
        <v>USD</v>
      </c>
      <c r="E158" s="5" t="str" cm="1">
        <f t="array" ref="E158:W163">_xlfn.WRAPCOLS(_xlfn.ANCHORARRAY(E151),6)</f>
        <v>Country</v>
      </c>
      <c r="F158" t="str">
        <v>UK</v>
      </c>
      <c r="G158" t="str">
        <v>Japan</v>
      </c>
      <c r="H158" t="str">
        <v>Canada</v>
      </c>
      <c r="I158" t="str">
        <v>USA</v>
      </c>
      <c r="J158" t="str">
        <v>USA</v>
      </c>
      <c r="K158" t="str">
        <v>Australia</v>
      </c>
      <c r="L158" t="str">
        <v>Singapore</v>
      </c>
      <c r="M158" t="str">
        <v>USA</v>
      </c>
      <c r="N158" t="str">
        <v>Germany</v>
      </c>
      <c r="O158" t="str">
        <v>Canada</v>
      </c>
      <c r="P158" t="str">
        <v>Canada</v>
      </c>
      <c r="Q158" t="str">
        <v>Singapore</v>
      </c>
      <c r="R158" t="str">
        <v>Germany</v>
      </c>
      <c r="S158" t="str">
        <v>Australia</v>
      </c>
      <c r="T158" t="str">
        <v>Germany</v>
      </c>
      <c r="U158" t="str">
        <v>UK</v>
      </c>
      <c r="V158" t="str">
        <v>UAE</v>
      </c>
      <c r="W158" t="str">
        <v>Singapore</v>
      </c>
    </row>
    <row r="159" spans="2:118" x14ac:dyDescent="0.3">
      <c r="B159">
        <v>4131.9399999999996</v>
      </c>
      <c r="E159" s="5" t="str">
        <v>TransactionType</v>
      </c>
      <c r="F159" t="str">
        <v>Withdrawal</v>
      </c>
      <c r="G159" t="str">
        <v>Fee</v>
      </c>
      <c r="H159" t="str">
        <v>Withdrawal</v>
      </c>
      <c r="I159" t="str">
        <v>Withdrawal</v>
      </c>
      <c r="J159" t="str">
        <v>Deposit</v>
      </c>
      <c r="K159" t="str">
        <v>Payment</v>
      </c>
      <c r="L159" t="str">
        <v>Deposit</v>
      </c>
      <c r="M159" t="str">
        <v>Deposit</v>
      </c>
      <c r="N159" t="str">
        <v>Payment</v>
      </c>
      <c r="O159" t="str">
        <v>Payment</v>
      </c>
      <c r="P159" t="str">
        <v>Fee</v>
      </c>
      <c r="Q159" t="str">
        <v>Withdrawal</v>
      </c>
      <c r="R159" t="str">
        <v>Transfer</v>
      </c>
      <c r="S159" t="str">
        <v>Deposit</v>
      </c>
      <c r="T159" t="str">
        <v>Transfer</v>
      </c>
      <c r="U159" t="str">
        <v>Loan</v>
      </c>
      <c r="V159" t="str">
        <v>Payment</v>
      </c>
      <c r="W159" t="str">
        <v>Transfer</v>
      </c>
    </row>
    <row r="160" spans="2:118" x14ac:dyDescent="0.3">
      <c r="B160">
        <v>88</v>
      </c>
      <c r="E160" s="5" t="str">
        <v>Category</v>
      </c>
      <c r="F160" t="str">
        <v>Dining</v>
      </c>
      <c r="G160" t="str">
        <v>Other</v>
      </c>
      <c r="H160" t="str">
        <v>Dining</v>
      </c>
      <c r="I160" t="str">
        <v>Entertainment</v>
      </c>
      <c r="J160" t="str">
        <v>Shopping</v>
      </c>
      <c r="K160" t="str">
        <v>Education</v>
      </c>
      <c r="L160" t="str">
        <v>Salary</v>
      </c>
      <c r="M160" t="str">
        <v>Salary</v>
      </c>
      <c r="N160" t="str">
        <v>Insurance</v>
      </c>
      <c r="O160" t="str">
        <v>Shopping</v>
      </c>
      <c r="P160" t="str">
        <v>Other</v>
      </c>
      <c r="Q160" t="str">
        <v>Dining</v>
      </c>
      <c r="R160" t="str">
        <v>Other</v>
      </c>
      <c r="S160" t="str">
        <v>Investment</v>
      </c>
      <c r="T160" t="str">
        <v>Other</v>
      </c>
      <c r="U160" t="str">
        <v>Other</v>
      </c>
      <c r="V160" t="str">
        <v>Other</v>
      </c>
      <c r="W160" t="str">
        <v>Other</v>
      </c>
    </row>
    <row r="161" spans="2:23" x14ac:dyDescent="0.3">
      <c r="B161" t="str">
        <v>Singapore</v>
      </c>
      <c r="E161" s="5" t="str">
        <v>Currency</v>
      </c>
      <c r="F161" t="str">
        <v>EUR</v>
      </c>
      <c r="G161" t="str">
        <v>USD</v>
      </c>
      <c r="H161" t="str">
        <v>USD</v>
      </c>
      <c r="I161" t="str">
        <v>EUR</v>
      </c>
      <c r="J161" t="str">
        <v>USD</v>
      </c>
      <c r="K161" t="str">
        <v>USD</v>
      </c>
      <c r="L161" t="str">
        <v>CNY</v>
      </c>
      <c r="M161" t="str">
        <v>CNY</v>
      </c>
      <c r="N161" t="str">
        <v>USD</v>
      </c>
      <c r="O161" t="str">
        <v>USD</v>
      </c>
      <c r="P161" t="str">
        <v>USD</v>
      </c>
      <c r="Q161" t="str">
        <v>USD</v>
      </c>
      <c r="R161" t="str">
        <v>USD</v>
      </c>
      <c r="S161" t="str">
        <v>CNY</v>
      </c>
      <c r="T161" t="str">
        <v>USD</v>
      </c>
      <c r="U161" t="str">
        <v>USD</v>
      </c>
      <c r="V161" t="str">
        <v>USD</v>
      </c>
      <c r="W161" t="str">
        <v>USD</v>
      </c>
    </row>
    <row r="162" spans="2:23" x14ac:dyDescent="0.3">
      <c r="B162" t="str">
        <v>Deposit</v>
      </c>
      <c r="E162" s="5" t="str">
        <v>Amount</v>
      </c>
      <c r="F162">
        <v>955.8</v>
      </c>
      <c r="G162">
        <v>12.41</v>
      </c>
      <c r="H162">
        <v>1842.59</v>
      </c>
      <c r="I162">
        <v>522.01</v>
      </c>
      <c r="J162">
        <v>874.91</v>
      </c>
      <c r="K162">
        <v>4131.9399999999996</v>
      </c>
      <c r="L162">
        <v>80</v>
      </c>
      <c r="M162">
        <v>40</v>
      </c>
      <c r="N162">
        <v>20</v>
      </c>
      <c r="O162">
        <v>836</v>
      </c>
      <c r="P162">
        <v>24.12</v>
      </c>
      <c r="Q162">
        <v>1514.19</v>
      </c>
      <c r="R162">
        <v>1113.46</v>
      </c>
      <c r="S162">
        <v>99</v>
      </c>
      <c r="T162">
        <v>45</v>
      </c>
      <c r="U162">
        <v>55</v>
      </c>
      <c r="V162">
        <v>911.22</v>
      </c>
      <c r="W162">
        <v>2581.61</v>
      </c>
    </row>
    <row r="163" spans="2:23" x14ac:dyDescent="0.3">
      <c r="B163" t="str">
        <v>Salary</v>
      </c>
      <c r="E163" s="5" t="str">
        <v>AmountUSD</v>
      </c>
      <c r="F163">
        <v>1032.2640000000001</v>
      </c>
      <c r="G163">
        <v>12.41</v>
      </c>
      <c r="H163">
        <v>1842.59</v>
      </c>
      <c r="I163">
        <v>563.77080000000001</v>
      </c>
      <c r="J163">
        <v>874.91</v>
      </c>
      <c r="K163">
        <v>88</v>
      </c>
      <c r="L163">
        <v>11.200000000000001</v>
      </c>
      <c r="M163">
        <v>5.6000000000000005</v>
      </c>
      <c r="N163">
        <v>6</v>
      </c>
      <c r="O163">
        <v>836</v>
      </c>
      <c r="P163">
        <v>24.12</v>
      </c>
      <c r="Q163">
        <v>1514.19</v>
      </c>
      <c r="R163">
        <v>1113.46</v>
      </c>
      <c r="S163">
        <v>13.860000000000001</v>
      </c>
      <c r="T163">
        <v>234</v>
      </c>
      <c r="U163">
        <v>55</v>
      </c>
      <c r="V163">
        <v>911.22</v>
      </c>
      <c r="W163">
        <v>764</v>
      </c>
    </row>
    <row r="164" spans="2:23" x14ac:dyDescent="0.3">
      <c r="B164" t="str">
        <v>CNY</v>
      </c>
    </row>
    <row r="165" spans="2:23" x14ac:dyDescent="0.3">
      <c r="B165">
        <v>80</v>
      </c>
    </row>
    <row r="166" spans="2:23" x14ac:dyDescent="0.3">
      <c r="B166">
        <v>11.200000000000001</v>
      </c>
    </row>
    <row r="167" spans="2:23" x14ac:dyDescent="0.3">
      <c r="B167" t="str">
        <v>USA</v>
      </c>
    </row>
    <row r="168" spans="2:23" x14ac:dyDescent="0.3">
      <c r="B168" t="str">
        <v>Deposit</v>
      </c>
      <c r="F168">
        <f>SUM(Amount)</f>
        <v>46000.750000000007</v>
      </c>
      <c r="J168" cm="1">
        <f t="array" ref="J168:J221">Amount</f>
        <v>955.8</v>
      </c>
      <c r="O168" cm="1">
        <f t="array" ref="O168:O221">Amount</f>
        <v>955.8</v>
      </c>
    </row>
    <row r="169" spans="2:23" x14ac:dyDescent="0.3">
      <c r="B169" t="str">
        <v>Salary</v>
      </c>
      <c r="J169">
        <v>12.41</v>
      </c>
      <c r="O169">
        <v>12.41</v>
      </c>
    </row>
    <row r="170" spans="2:23" x14ac:dyDescent="0.3">
      <c r="B170" t="str">
        <v>CNY</v>
      </c>
      <c r="J170">
        <v>1842.59</v>
      </c>
      <c r="O170">
        <v>1842.59</v>
      </c>
    </row>
    <row r="171" spans="2:23" x14ac:dyDescent="0.3">
      <c r="B171">
        <v>40</v>
      </c>
      <c r="J171">
        <v>522.01</v>
      </c>
      <c r="O171">
        <v>522.01</v>
      </c>
    </row>
    <row r="172" spans="2:23" x14ac:dyDescent="0.3">
      <c r="B172">
        <v>5.6000000000000005</v>
      </c>
      <c r="J172">
        <v>874.91</v>
      </c>
      <c r="O172">
        <v>874.91</v>
      </c>
    </row>
    <row r="173" spans="2:23" x14ac:dyDescent="0.3">
      <c r="B173" t="str">
        <v>Germany</v>
      </c>
      <c r="J173">
        <v>4000</v>
      </c>
      <c r="O173">
        <v>4000</v>
      </c>
    </row>
    <row r="174" spans="2:23" x14ac:dyDescent="0.3">
      <c r="B174" t="str">
        <v>Payment</v>
      </c>
      <c r="J174">
        <v>80</v>
      </c>
      <c r="O174">
        <v>80</v>
      </c>
    </row>
    <row r="175" spans="2:23" x14ac:dyDescent="0.3">
      <c r="B175" t="str">
        <v>Insurance</v>
      </c>
      <c r="J175">
        <v>40</v>
      </c>
      <c r="O175">
        <v>40</v>
      </c>
    </row>
    <row r="176" spans="2:23" x14ac:dyDescent="0.3">
      <c r="B176" t="str">
        <v>USD</v>
      </c>
      <c r="J176">
        <v>20</v>
      </c>
      <c r="O176">
        <v>20</v>
      </c>
    </row>
    <row r="177" spans="2:15" x14ac:dyDescent="0.3">
      <c r="B177">
        <v>20</v>
      </c>
      <c r="J177">
        <v>836</v>
      </c>
      <c r="O177">
        <v>836</v>
      </c>
    </row>
    <row r="178" spans="2:15" x14ac:dyDescent="0.3">
      <c r="B178">
        <v>6</v>
      </c>
      <c r="J178">
        <v>24.12</v>
      </c>
      <c r="O178">
        <v>24.12</v>
      </c>
    </row>
    <row r="179" spans="2:15" x14ac:dyDescent="0.3">
      <c r="B179" t="str">
        <v>Canada</v>
      </c>
      <c r="J179">
        <v>1514.19</v>
      </c>
      <c r="O179">
        <v>1514.19</v>
      </c>
    </row>
    <row r="180" spans="2:15" x14ac:dyDescent="0.3">
      <c r="B180" t="str">
        <v>Payment</v>
      </c>
      <c r="J180">
        <v>1113.46</v>
      </c>
      <c r="O180">
        <v>1113.46</v>
      </c>
    </row>
    <row r="181" spans="2:15" x14ac:dyDescent="0.3">
      <c r="B181" t="str">
        <v>Shopping</v>
      </c>
      <c r="J181">
        <v>99</v>
      </c>
      <c r="O181">
        <v>99</v>
      </c>
    </row>
    <row r="182" spans="2:15" x14ac:dyDescent="0.3">
      <c r="B182" t="str">
        <v>USD</v>
      </c>
      <c r="J182">
        <v>70</v>
      </c>
      <c r="O182">
        <v>70</v>
      </c>
    </row>
    <row r="183" spans="2:15" x14ac:dyDescent="0.3">
      <c r="B183">
        <v>836</v>
      </c>
      <c r="J183">
        <v>90</v>
      </c>
      <c r="O183">
        <v>90</v>
      </c>
    </row>
    <row r="184" spans="2:15" x14ac:dyDescent="0.3">
      <c r="B184">
        <v>836</v>
      </c>
      <c r="J184">
        <v>911.22</v>
      </c>
      <c r="O184">
        <v>911.22</v>
      </c>
    </row>
    <row r="185" spans="2:15" x14ac:dyDescent="0.3">
      <c r="B185" t="str">
        <v>Canada</v>
      </c>
      <c r="J185">
        <v>2581.61</v>
      </c>
      <c r="O185">
        <v>2581.61</v>
      </c>
    </row>
    <row r="186" spans="2:15" x14ac:dyDescent="0.3">
      <c r="B186" t="str">
        <v>Fee</v>
      </c>
      <c r="J186">
        <v>955.8</v>
      </c>
      <c r="O186">
        <v>955.8</v>
      </c>
    </row>
    <row r="187" spans="2:15" x14ac:dyDescent="0.3">
      <c r="B187" t="str">
        <v>Other</v>
      </c>
      <c r="J187">
        <v>120</v>
      </c>
      <c r="O187">
        <v>120</v>
      </c>
    </row>
    <row r="188" spans="2:15" x14ac:dyDescent="0.3">
      <c r="B188" t="str">
        <v>USD</v>
      </c>
      <c r="J188">
        <v>1842.59</v>
      </c>
      <c r="O188">
        <v>1842.59</v>
      </c>
    </row>
    <row r="189" spans="2:15" x14ac:dyDescent="0.3">
      <c r="B189">
        <v>24.12</v>
      </c>
      <c r="J189">
        <v>522.01</v>
      </c>
      <c r="O189">
        <v>522.01</v>
      </c>
    </row>
    <row r="190" spans="2:15" x14ac:dyDescent="0.3">
      <c r="B190">
        <v>24.12</v>
      </c>
      <c r="J190">
        <v>874.91</v>
      </c>
      <c r="O190">
        <v>874.91</v>
      </c>
    </row>
    <row r="191" spans="2:15" x14ac:dyDescent="0.3">
      <c r="B191" t="str">
        <v>Singapore</v>
      </c>
      <c r="J191">
        <v>4000</v>
      </c>
      <c r="O191">
        <v>4000</v>
      </c>
    </row>
    <row r="192" spans="2:15" x14ac:dyDescent="0.3">
      <c r="B192" t="str">
        <v>Withdrawal</v>
      </c>
      <c r="J192">
        <v>80</v>
      </c>
      <c r="O192">
        <v>80</v>
      </c>
    </row>
    <row r="193" spans="2:15" x14ac:dyDescent="0.3">
      <c r="B193" t="str">
        <v>Dining</v>
      </c>
      <c r="J193">
        <v>40</v>
      </c>
      <c r="O193">
        <v>40</v>
      </c>
    </row>
    <row r="194" spans="2:15" x14ac:dyDescent="0.3">
      <c r="B194" t="str">
        <v>USD</v>
      </c>
      <c r="J194">
        <v>30</v>
      </c>
      <c r="O194">
        <v>30</v>
      </c>
    </row>
    <row r="195" spans="2:15" x14ac:dyDescent="0.3">
      <c r="B195">
        <v>1514.19</v>
      </c>
      <c r="J195">
        <v>836</v>
      </c>
      <c r="O195">
        <v>836</v>
      </c>
    </row>
    <row r="196" spans="2:15" x14ac:dyDescent="0.3">
      <c r="B196">
        <v>1514.19</v>
      </c>
      <c r="J196">
        <v>24.12</v>
      </c>
      <c r="O196">
        <v>24.12</v>
      </c>
    </row>
    <row r="197" spans="2:15" x14ac:dyDescent="0.3">
      <c r="B197" t="str">
        <v>Germany</v>
      </c>
      <c r="J197">
        <v>1514.19</v>
      </c>
      <c r="O197">
        <v>1514.19</v>
      </c>
    </row>
    <row r="198" spans="2:15" x14ac:dyDescent="0.3">
      <c r="B198" t="str">
        <v>Transfer</v>
      </c>
      <c r="J198">
        <v>1113.46</v>
      </c>
      <c r="O198">
        <v>1113.46</v>
      </c>
    </row>
    <row r="199" spans="2:15" x14ac:dyDescent="0.3">
      <c r="B199" t="str">
        <v>Other</v>
      </c>
      <c r="J199">
        <v>99</v>
      </c>
      <c r="O199">
        <v>99</v>
      </c>
    </row>
    <row r="200" spans="2:15" x14ac:dyDescent="0.3">
      <c r="B200" t="str">
        <v>USD</v>
      </c>
      <c r="J200">
        <v>70</v>
      </c>
      <c r="O200">
        <v>70</v>
      </c>
    </row>
    <row r="201" spans="2:15" x14ac:dyDescent="0.3">
      <c r="B201">
        <v>1113.46</v>
      </c>
      <c r="J201">
        <v>55</v>
      </c>
      <c r="O201">
        <v>55</v>
      </c>
    </row>
    <row r="202" spans="2:15" x14ac:dyDescent="0.3">
      <c r="B202">
        <v>1113.46</v>
      </c>
      <c r="J202">
        <v>911.22</v>
      </c>
      <c r="O202">
        <v>911.22</v>
      </c>
    </row>
    <row r="203" spans="2:15" x14ac:dyDescent="0.3">
      <c r="B203" t="str">
        <v>Australia</v>
      </c>
      <c r="J203">
        <v>2581.61</v>
      </c>
      <c r="O203">
        <v>2581.61</v>
      </c>
    </row>
    <row r="204" spans="2:15" x14ac:dyDescent="0.3">
      <c r="B204" t="str">
        <v>Deposit</v>
      </c>
      <c r="J204">
        <v>955.8</v>
      </c>
      <c r="O204">
        <v>955.8</v>
      </c>
    </row>
    <row r="205" spans="2:15" x14ac:dyDescent="0.3">
      <c r="B205" t="str">
        <v>Investment</v>
      </c>
      <c r="J205">
        <v>12.41</v>
      </c>
      <c r="O205">
        <v>12.41</v>
      </c>
    </row>
    <row r="206" spans="2:15" x14ac:dyDescent="0.3">
      <c r="B206" t="str">
        <v>CNY</v>
      </c>
      <c r="J206">
        <v>1842.59</v>
      </c>
      <c r="O206">
        <v>1842.59</v>
      </c>
    </row>
    <row r="207" spans="2:15" x14ac:dyDescent="0.3">
      <c r="B207">
        <v>99</v>
      </c>
      <c r="J207">
        <v>522.01</v>
      </c>
      <c r="O207">
        <v>522.01</v>
      </c>
    </row>
    <row r="208" spans="2:15" x14ac:dyDescent="0.3">
      <c r="B208">
        <v>13.860000000000001</v>
      </c>
      <c r="J208">
        <v>874.91</v>
      </c>
      <c r="O208">
        <v>874.91</v>
      </c>
    </row>
    <row r="209" spans="2:15" x14ac:dyDescent="0.3">
      <c r="B209" t="str">
        <v>Germany</v>
      </c>
      <c r="J209">
        <v>3800</v>
      </c>
      <c r="O209">
        <v>3800</v>
      </c>
    </row>
    <row r="210" spans="2:15" x14ac:dyDescent="0.3">
      <c r="B210" t="str">
        <v>Transfer</v>
      </c>
      <c r="J210">
        <v>80</v>
      </c>
      <c r="O210">
        <v>80</v>
      </c>
    </row>
    <row r="211" spans="2:15" x14ac:dyDescent="0.3">
      <c r="B211" t="str">
        <v>Other</v>
      </c>
      <c r="J211">
        <v>52</v>
      </c>
      <c r="O211">
        <v>52</v>
      </c>
    </row>
    <row r="212" spans="2:15" x14ac:dyDescent="0.3">
      <c r="B212" t="str">
        <v>USD</v>
      </c>
      <c r="J212">
        <v>20</v>
      </c>
      <c r="O212">
        <v>20</v>
      </c>
    </row>
    <row r="213" spans="2:15" x14ac:dyDescent="0.3">
      <c r="B213">
        <v>45</v>
      </c>
      <c r="J213">
        <v>836</v>
      </c>
      <c r="O213">
        <v>836</v>
      </c>
    </row>
    <row r="214" spans="2:15" x14ac:dyDescent="0.3">
      <c r="B214">
        <v>234</v>
      </c>
      <c r="J214">
        <v>24.12</v>
      </c>
      <c r="O214">
        <v>24.12</v>
      </c>
    </row>
    <row r="215" spans="2:15" x14ac:dyDescent="0.3">
      <c r="B215" t="str">
        <v>UK</v>
      </c>
      <c r="J215">
        <v>1200</v>
      </c>
      <c r="O215">
        <v>1200</v>
      </c>
    </row>
    <row r="216" spans="2:15" x14ac:dyDescent="0.3">
      <c r="B216" t="str">
        <v>Loan</v>
      </c>
      <c r="J216">
        <v>1113.46</v>
      </c>
      <c r="O216">
        <v>1113.46</v>
      </c>
    </row>
    <row r="217" spans="2:15" x14ac:dyDescent="0.3">
      <c r="B217" t="str">
        <v>Other</v>
      </c>
      <c r="J217">
        <v>99</v>
      </c>
      <c r="O217">
        <v>99</v>
      </c>
    </row>
    <row r="218" spans="2:15" x14ac:dyDescent="0.3">
      <c r="B218" t="str">
        <v>USD</v>
      </c>
      <c r="J218">
        <v>45</v>
      </c>
      <c r="O218">
        <v>45</v>
      </c>
    </row>
    <row r="219" spans="2:15" x14ac:dyDescent="0.3">
      <c r="B219">
        <v>55</v>
      </c>
      <c r="J219">
        <v>55</v>
      </c>
      <c r="O219">
        <v>55</v>
      </c>
    </row>
    <row r="220" spans="2:15" x14ac:dyDescent="0.3">
      <c r="B220">
        <v>55</v>
      </c>
      <c r="J220">
        <v>911.22</v>
      </c>
      <c r="O220">
        <v>911.22</v>
      </c>
    </row>
    <row r="221" spans="2:15" x14ac:dyDescent="0.3">
      <c r="B221" t="str">
        <v>UAE</v>
      </c>
      <c r="J221">
        <v>2300</v>
      </c>
      <c r="O221">
        <v>2300</v>
      </c>
    </row>
    <row r="222" spans="2:15" x14ac:dyDescent="0.3">
      <c r="B222" t="str">
        <v>Payment</v>
      </c>
    </row>
    <row r="223" spans="2:15" x14ac:dyDescent="0.3">
      <c r="B223" t="str">
        <v>Other</v>
      </c>
    </row>
    <row r="224" spans="2:15" x14ac:dyDescent="0.3">
      <c r="B224" t="str">
        <v>USD</v>
      </c>
    </row>
    <row r="225" spans="2:2" x14ac:dyDescent="0.3">
      <c r="B225">
        <v>911.22</v>
      </c>
    </row>
    <row r="226" spans="2:2" x14ac:dyDescent="0.3">
      <c r="B226">
        <v>911.22</v>
      </c>
    </row>
    <row r="227" spans="2:2" x14ac:dyDescent="0.3">
      <c r="B227" t="str">
        <v>Singapore</v>
      </c>
    </row>
    <row r="228" spans="2:2" x14ac:dyDescent="0.3">
      <c r="B228" t="str">
        <v>Transfer</v>
      </c>
    </row>
    <row r="229" spans="2:2" x14ac:dyDescent="0.3">
      <c r="B229" t="str">
        <v>Other</v>
      </c>
    </row>
    <row r="230" spans="2:2" x14ac:dyDescent="0.3">
      <c r="B230" t="str">
        <v>USD</v>
      </c>
    </row>
    <row r="231" spans="2:2" x14ac:dyDescent="0.3">
      <c r="B231">
        <v>2581.61</v>
      </c>
    </row>
    <row r="232" spans="2:2" x14ac:dyDescent="0.3">
      <c r="B232">
        <v>764</v>
      </c>
    </row>
  </sheetData>
  <pageMargins left="0.7" right="0.7" top="0.75" bottom="0.75" header="0.3" footer="0.3"/>
  <pageSetup orientation="portrait" horizontalDpi="360" verticalDpi="36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C0275D-A4D9-4603-9120-36EA32FB84C5}">
  <dimension ref="A1:Q55"/>
  <sheetViews>
    <sheetView workbookViewId="0">
      <selection activeCell="J2" sqref="J2"/>
    </sheetView>
  </sheetViews>
  <sheetFormatPr defaultRowHeight="15.6" x14ac:dyDescent="0.3"/>
  <cols>
    <col min="2" max="2" width="14.69921875" bestFit="1" customWidth="1"/>
    <col min="3" max="3" width="12.296875" bestFit="1" customWidth="1"/>
    <col min="4" max="4" width="8.69921875" bestFit="1" customWidth="1"/>
    <col min="5" max="5" width="7.8984375" bestFit="1" customWidth="1"/>
    <col min="6" max="6" width="11" bestFit="1" customWidth="1"/>
    <col min="10" max="10" width="21.296875" bestFit="1" customWidth="1"/>
    <col min="11" max="11" width="11.8984375" bestFit="1" customWidth="1"/>
  </cols>
  <sheetData>
    <row r="1" spans="1:17" x14ac:dyDescent="0.3">
      <c r="A1" s="5" t="s">
        <v>2</v>
      </c>
      <c r="B1" s="5" t="s">
        <v>3</v>
      </c>
      <c r="C1" s="5" t="s">
        <v>4</v>
      </c>
      <c r="D1" s="5" t="s">
        <v>5</v>
      </c>
      <c r="E1" s="5" t="s">
        <v>6</v>
      </c>
      <c r="F1" s="5" t="s">
        <v>7</v>
      </c>
    </row>
    <row r="2" spans="1:17" ht="16.2" thickBot="1" x14ac:dyDescent="0.35">
      <c r="A2" t="s">
        <v>11</v>
      </c>
      <c r="B2" t="s">
        <v>12</v>
      </c>
      <c r="C2" t="s">
        <v>13</v>
      </c>
      <c r="D2" t="s">
        <v>14</v>
      </c>
      <c r="E2">
        <v>955.8</v>
      </c>
      <c r="F2">
        <v>1032.2640000000001</v>
      </c>
      <c r="G2">
        <f>E2*F2</f>
        <v>986637.93120000011</v>
      </c>
    </row>
    <row r="3" spans="1:17" x14ac:dyDescent="0.3">
      <c r="A3" t="s">
        <v>17</v>
      </c>
      <c r="B3" t="s">
        <v>18</v>
      </c>
      <c r="C3" t="s">
        <v>19</v>
      </c>
      <c r="D3" t="s">
        <v>20</v>
      </c>
      <c r="E3">
        <v>12.41</v>
      </c>
      <c r="F3">
        <v>12.41</v>
      </c>
      <c r="G3">
        <f t="shared" ref="G3:G55" si="0">E3*F3</f>
        <v>154.00810000000001</v>
      </c>
      <c r="N3" s="8"/>
      <c r="O3" s="8" t="s">
        <v>6</v>
      </c>
      <c r="P3" s="8" t="s">
        <v>7</v>
      </c>
      <c r="Q3" s="8"/>
    </row>
    <row r="4" spans="1:17" ht="16.2" thickBot="1" x14ac:dyDescent="0.35">
      <c r="A4" t="s">
        <v>23</v>
      </c>
      <c r="B4" t="s">
        <v>12</v>
      </c>
      <c r="C4" t="s">
        <v>13</v>
      </c>
      <c r="D4" t="s">
        <v>20</v>
      </c>
      <c r="E4">
        <v>1842.59</v>
      </c>
      <c r="F4">
        <v>1842.59</v>
      </c>
      <c r="G4">
        <f t="shared" si="0"/>
        <v>3395137.9080999997</v>
      </c>
      <c r="N4" s="6" t="s">
        <v>6</v>
      </c>
      <c r="O4" s="6">
        <v>1</v>
      </c>
      <c r="P4" s="6"/>
      <c r="Q4" s="6"/>
    </row>
    <row r="5" spans="1:17" x14ac:dyDescent="0.3">
      <c r="A5" t="s">
        <v>26</v>
      </c>
      <c r="B5" t="s">
        <v>12</v>
      </c>
      <c r="C5" t="s">
        <v>27</v>
      </c>
      <c r="D5" t="s">
        <v>14</v>
      </c>
      <c r="E5">
        <v>522.01</v>
      </c>
      <c r="F5">
        <v>563.77080000000001</v>
      </c>
      <c r="G5">
        <f t="shared" si="0"/>
        <v>294293.99530800001</v>
      </c>
      <c r="J5" s="9" t="s">
        <v>6</v>
      </c>
      <c r="K5" s="9"/>
      <c r="N5" s="6" t="s">
        <v>7</v>
      </c>
      <c r="O5" s="6">
        <v>0.39999591408058283</v>
      </c>
      <c r="P5" s="6">
        <v>1</v>
      </c>
      <c r="Q5" s="6"/>
    </row>
    <row r="6" spans="1:17" ht="16.2" thickBot="1" x14ac:dyDescent="0.35">
      <c r="A6" t="s">
        <v>26</v>
      </c>
      <c r="B6" t="s">
        <v>37</v>
      </c>
      <c r="C6" t="s">
        <v>29</v>
      </c>
      <c r="D6" t="s">
        <v>20</v>
      </c>
      <c r="E6">
        <v>874.91</v>
      </c>
      <c r="F6">
        <v>874.91</v>
      </c>
      <c r="G6">
        <f t="shared" si="0"/>
        <v>765467.50809999998</v>
      </c>
      <c r="J6" s="6"/>
      <c r="K6" s="6"/>
      <c r="N6" s="7"/>
      <c r="O6" s="7">
        <v>0.53779682565085141</v>
      </c>
      <c r="P6" s="7">
        <v>0.91044276669889168</v>
      </c>
      <c r="Q6" s="7">
        <v>1</v>
      </c>
    </row>
    <row r="7" spans="1:17" x14ac:dyDescent="0.3">
      <c r="A7" t="s">
        <v>32</v>
      </c>
      <c r="B7" t="s">
        <v>33</v>
      </c>
      <c r="C7" t="s">
        <v>34</v>
      </c>
      <c r="D7" t="s">
        <v>20</v>
      </c>
      <c r="E7">
        <v>4000</v>
      </c>
      <c r="F7">
        <v>88</v>
      </c>
      <c r="G7">
        <f t="shared" si="0"/>
        <v>352000</v>
      </c>
      <c r="J7" s="6" t="s">
        <v>74</v>
      </c>
      <c r="K7" s="6">
        <v>851.86574074074088</v>
      </c>
    </row>
    <row r="8" spans="1:17" x14ac:dyDescent="0.3">
      <c r="A8" t="s">
        <v>36</v>
      </c>
      <c r="B8" t="s">
        <v>37</v>
      </c>
      <c r="C8" t="s">
        <v>38</v>
      </c>
      <c r="D8" t="s">
        <v>39</v>
      </c>
      <c r="E8">
        <v>80</v>
      </c>
      <c r="F8">
        <v>11.200000000000001</v>
      </c>
      <c r="G8">
        <f t="shared" si="0"/>
        <v>896.00000000000011</v>
      </c>
      <c r="J8" s="6" t="s">
        <v>75</v>
      </c>
      <c r="K8" s="6">
        <v>140.31028948189612</v>
      </c>
    </row>
    <row r="9" spans="1:17" x14ac:dyDescent="0.3">
      <c r="A9" t="s">
        <v>26</v>
      </c>
      <c r="B9" t="s">
        <v>37</v>
      </c>
      <c r="C9" t="s">
        <v>38</v>
      </c>
      <c r="D9" t="s">
        <v>39</v>
      </c>
      <c r="E9">
        <v>40</v>
      </c>
      <c r="F9">
        <v>5.6000000000000005</v>
      </c>
      <c r="G9">
        <f t="shared" si="0"/>
        <v>224.00000000000003</v>
      </c>
      <c r="J9" s="6" t="s">
        <v>76</v>
      </c>
      <c r="K9" s="6">
        <v>679.005</v>
      </c>
      <c r="N9">
        <v>40</v>
      </c>
    </row>
    <row r="10" spans="1:17" x14ac:dyDescent="0.3">
      <c r="A10" t="s">
        <v>43</v>
      </c>
      <c r="B10" t="s">
        <v>33</v>
      </c>
      <c r="C10" t="s">
        <v>44</v>
      </c>
      <c r="D10" t="s">
        <v>20</v>
      </c>
      <c r="E10">
        <v>20</v>
      </c>
      <c r="F10">
        <v>6</v>
      </c>
      <c r="G10">
        <f t="shared" si="0"/>
        <v>120</v>
      </c>
      <c r="J10" s="6" t="s">
        <v>77</v>
      </c>
      <c r="K10" s="6">
        <v>955.8</v>
      </c>
      <c r="N10">
        <v>1514.19</v>
      </c>
    </row>
    <row r="11" spans="1:17" x14ac:dyDescent="0.3">
      <c r="A11" t="s">
        <v>23</v>
      </c>
      <c r="B11" t="s">
        <v>33</v>
      </c>
      <c r="C11" t="s">
        <v>29</v>
      </c>
      <c r="D11" t="s">
        <v>20</v>
      </c>
      <c r="E11">
        <v>836</v>
      </c>
      <c r="F11">
        <v>836</v>
      </c>
      <c r="G11">
        <f t="shared" si="0"/>
        <v>698896</v>
      </c>
      <c r="J11" s="6" t="s">
        <v>78</v>
      </c>
      <c r="K11" s="6">
        <v>1031.0658446785289</v>
      </c>
      <c r="N11">
        <v>1842.59</v>
      </c>
    </row>
    <row r="12" spans="1:17" x14ac:dyDescent="0.3">
      <c r="A12" t="s">
        <v>23</v>
      </c>
      <c r="B12" t="s">
        <v>18</v>
      </c>
      <c r="C12" t="s">
        <v>19</v>
      </c>
      <c r="D12" t="s">
        <v>20</v>
      </c>
      <c r="E12">
        <v>24.12</v>
      </c>
      <c r="F12">
        <v>24.12</v>
      </c>
      <c r="G12">
        <f t="shared" si="0"/>
        <v>581.77440000000001</v>
      </c>
      <c r="J12" s="6" t="s">
        <v>79</v>
      </c>
      <c r="K12" s="6">
        <v>1063096.7760626483</v>
      </c>
      <c r="N12">
        <v>955.8</v>
      </c>
    </row>
    <row r="13" spans="1:17" x14ac:dyDescent="0.3">
      <c r="A13" t="s">
        <v>36</v>
      </c>
      <c r="B13" t="s">
        <v>12</v>
      </c>
      <c r="C13" t="s">
        <v>13</v>
      </c>
      <c r="D13" t="s">
        <v>20</v>
      </c>
      <c r="E13">
        <v>1514.19</v>
      </c>
      <c r="F13">
        <v>1514.19</v>
      </c>
      <c r="G13">
        <f t="shared" si="0"/>
        <v>2292771.3561</v>
      </c>
      <c r="J13" s="6" t="s">
        <v>80</v>
      </c>
      <c r="K13" s="6">
        <v>2.5688520406573194</v>
      </c>
      <c r="N13">
        <v>1842.59</v>
      </c>
    </row>
    <row r="14" spans="1:17" x14ac:dyDescent="0.3">
      <c r="A14" t="s">
        <v>43</v>
      </c>
      <c r="B14" t="s">
        <v>49</v>
      </c>
      <c r="C14" t="s">
        <v>19</v>
      </c>
      <c r="D14" t="s">
        <v>20</v>
      </c>
      <c r="E14">
        <v>1113.46</v>
      </c>
      <c r="F14">
        <v>1113.46</v>
      </c>
      <c r="G14">
        <f t="shared" si="0"/>
        <v>1239793.1716</v>
      </c>
      <c r="J14" s="6" t="s">
        <v>81</v>
      </c>
      <c r="K14" s="6">
        <v>1.6578092459292777</v>
      </c>
      <c r="N14">
        <v>52</v>
      </c>
    </row>
    <row r="15" spans="1:17" x14ac:dyDescent="0.3">
      <c r="A15" t="s">
        <v>32</v>
      </c>
      <c r="B15" t="s">
        <v>37</v>
      </c>
      <c r="C15" t="s">
        <v>51</v>
      </c>
      <c r="D15" t="s">
        <v>39</v>
      </c>
      <c r="E15">
        <v>99</v>
      </c>
      <c r="F15">
        <v>13.860000000000001</v>
      </c>
      <c r="G15">
        <f t="shared" si="0"/>
        <v>1372.14</v>
      </c>
      <c r="J15" s="6" t="s">
        <v>82</v>
      </c>
      <c r="K15" s="6">
        <v>3987.59</v>
      </c>
      <c r="N15">
        <v>30</v>
      </c>
    </row>
    <row r="16" spans="1:17" x14ac:dyDescent="0.3">
      <c r="A16" t="s">
        <v>43</v>
      </c>
      <c r="B16" t="s">
        <v>49</v>
      </c>
      <c r="C16" t="s">
        <v>19</v>
      </c>
      <c r="D16" t="s">
        <v>20</v>
      </c>
      <c r="E16">
        <v>70</v>
      </c>
      <c r="F16">
        <v>234</v>
      </c>
      <c r="G16">
        <f t="shared" si="0"/>
        <v>16380</v>
      </c>
      <c r="J16" s="6" t="s">
        <v>83</v>
      </c>
      <c r="K16" s="6">
        <v>12.41</v>
      </c>
      <c r="N16">
        <v>911.22</v>
      </c>
    </row>
    <row r="17" spans="1:14" x14ac:dyDescent="0.3">
      <c r="A17" t="s">
        <v>11</v>
      </c>
      <c r="B17" t="s">
        <v>54</v>
      </c>
      <c r="C17" t="s">
        <v>19</v>
      </c>
      <c r="D17" t="s">
        <v>20</v>
      </c>
      <c r="E17">
        <v>90</v>
      </c>
      <c r="F17">
        <v>55</v>
      </c>
      <c r="G17">
        <f t="shared" si="0"/>
        <v>4950</v>
      </c>
      <c r="J17" s="6" t="s">
        <v>84</v>
      </c>
      <c r="K17" s="6">
        <v>4000</v>
      </c>
      <c r="N17">
        <v>55</v>
      </c>
    </row>
    <row r="18" spans="1:14" x14ac:dyDescent="0.3">
      <c r="A18" t="s">
        <v>57</v>
      </c>
      <c r="B18" t="s">
        <v>33</v>
      </c>
      <c r="C18" t="s">
        <v>19</v>
      </c>
      <c r="D18" t="s">
        <v>20</v>
      </c>
      <c r="E18">
        <v>911.22</v>
      </c>
      <c r="F18">
        <v>911.22</v>
      </c>
      <c r="G18">
        <f t="shared" si="0"/>
        <v>830321.88840000005</v>
      </c>
      <c r="J18" s="6" t="s">
        <v>59</v>
      </c>
      <c r="K18" s="6">
        <v>46000.750000000007</v>
      </c>
      <c r="N18">
        <v>80</v>
      </c>
    </row>
    <row r="19" spans="1:14" x14ac:dyDescent="0.3">
      <c r="A19" t="s">
        <v>36</v>
      </c>
      <c r="B19" t="s">
        <v>49</v>
      </c>
      <c r="C19" t="s">
        <v>19</v>
      </c>
      <c r="D19" t="s">
        <v>20</v>
      </c>
      <c r="E19">
        <v>2581.61</v>
      </c>
      <c r="F19">
        <v>764</v>
      </c>
      <c r="G19">
        <f t="shared" si="0"/>
        <v>1972350.04</v>
      </c>
      <c r="J19" s="6" t="s">
        <v>85</v>
      </c>
      <c r="K19" s="6">
        <v>54</v>
      </c>
      <c r="N19">
        <v>12.41</v>
      </c>
    </row>
    <row r="20" spans="1:14" ht="16.2" thickBot="1" x14ac:dyDescent="0.35">
      <c r="A20" t="s">
        <v>11</v>
      </c>
      <c r="B20" t="s">
        <v>12</v>
      </c>
      <c r="C20" t="s">
        <v>13</v>
      </c>
      <c r="D20" t="s">
        <v>14</v>
      </c>
      <c r="E20">
        <v>955.8</v>
      </c>
      <c r="F20">
        <v>1032.2640000000001</v>
      </c>
      <c r="G20">
        <f t="shared" si="0"/>
        <v>986637.93120000011</v>
      </c>
      <c r="J20" s="7" t="s">
        <v>86</v>
      </c>
      <c r="K20" s="7">
        <v>281.42680123020415</v>
      </c>
      <c r="N20">
        <v>522.01</v>
      </c>
    </row>
    <row r="21" spans="1:14" x14ac:dyDescent="0.3">
      <c r="A21" t="s">
        <v>17</v>
      </c>
      <c r="B21" t="s">
        <v>18</v>
      </c>
      <c r="C21" t="s">
        <v>19</v>
      </c>
      <c r="D21" t="s">
        <v>20</v>
      </c>
      <c r="E21">
        <v>120</v>
      </c>
      <c r="F21">
        <v>12.41</v>
      </c>
      <c r="G21">
        <f t="shared" si="0"/>
        <v>1489.2</v>
      </c>
      <c r="N21">
        <v>1842.59</v>
      </c>
    </row>
    <row r="22" spans="1:14" x14ac:dyDescent="0.3">
      <c r="A22" t="s">
        <v>23</v>
      </c>
      <c r="B22" t="s">
        <v>12</v>
      </c>
      <c r="C22" t="s">
        <v>13</v>
      </c>
      <c r="D22" t="s">
        <v>20</v>
      </c>
      <c r="E22">
        <v>1842.59</v>
      </c>
      <c r="F22">
        <v>1842.59</v>
      </c>
      <c r="G22">
        <f t="shared" si="0"/>
        <v>3395137.9080999997</v>
      </c>
      <c r="N22">
        <v>55</v>
      </c>
    </row>
    <row r="23" spans="1:14" x14ac:dyDescent="0.3">
      <c r="A23" t="s">
        <v>26</v>
      </c>
      <c r="B23" t="s">
        <v>12</v>
      </c>
      <c r="C23" t="s">
        <v>27</v>
      </c>
      <c r="D23" t="s">
        <v>14</v>
      </c>
      <c r="E23">
        <v>522.01</v>
      </c>
      <c r="F23">
        <v>563.77080000000001</v>
      </c>
      <c r="G23">
        <f t="shared" si="0"/>
        <v>294293.99530800001</v>
      </c>
      <c r="N23">
        <v>911.22</v>
      </c>
    </row>
    <row r="24" spans="1:14" x14ac:dyDescent="0.3">
      <c r="A24" t="s">
        <v>26</v>
      </c>
      <c r="B24" t="s">
        <v>37</v>
      </c>
      <c r="C24" t="s">
        <v>29</v>
      </c>
      <c r="D24" t="s">
        <v>20</v>
      </c>
      <c r="E24">
        <v>874.91</v>
      </c>
      <c r="F24">
        <v>874.91</v>
      </c>
      <c r="G24">
        <f t="shared" si="0"/>
        <v>765467.50809999998</v>
      </c>
      <c r="N24">
        <v>874.91</v>
      </c>
    </row>
    <row r="25" spans="1:14" x14ac:dyDescent="0.3">
      <c r="A25" t="s">
        <v>32</v>
      </c>
      <c r="B25" t="s">
        <v>33</v>
      </c>
      <c r="C25" t="s">
        <v>34</v>
      </c>
      <c r="D25" t="s">
        <v>20</v>
      </c>
      <c r="E25">
        <v>4000</v>
      </c>
      <c r="F25">
        <v>88</v>
      </c>
      <c r="G25">
        <f t="shared" si="0"/>
        <v>352000</v>
      </c>
      <c r="N25">
        <v>80</v>
      </c>
    </row>
    <row r="26" spans="1:14" x14ac:dyDescent="0.3">
      <c r="A26" t="s">
        <v>36</v>
      </c>
      <c r="B26" t="s">
        <v>37</v>
      </c>
      <c r="C26" t="s">
        <v>38</v>
      </c>
      <c r="D26" t="s">
        <v>39</v>
      </c>
      <c r="E26">
        <v>80</v>
      </c>
      <c r="F26">
        <v>11.200000000000001</v>
      </c>
      <c r="G26">
        <f t="shared" si="0"/>
        <v>896.00000000000011</v>
      </c>
      <c r="N26">
        <v>55</v>
      </c>
    </row>
    <row r="27" spans="1:14" x14ac:dyDescent="0.3">
      <c r="A27" t="s">
        <v>26</v>
      </c>
      <c r="B27" t="s">
        <v>37</v>
      </c>
      <c r="C27" t="s">
        <v>38</v>
      </c>
      <c r="D27" t="s">
        <v>39</v>
      </c>
      <c r="E27">
        <v>40</v>
      </c>
      <c r="F27">
        <v>5.6000000000000005</v>
      </c>
      <c r="G27">
        <f t="shared" si="0"/>
        <v>224.00000000000003</v>
      </c>
      <c r="N27">
        <v>1842.59</v>
      </c>
    </row>
    <row r="28" spans="1:14" x14ac:dyDescent="0.3">
      <c r="A28" t="s">
        <v>43</v>
      </c>
      <c r="B28" t="s">
        <v>33</v>
      </c>
      <c r="C28" t="s">
        <v>44</v>
      </c>
      <c r="D28" t="s">
        <v>20</v>
      </c>
      <c r="E28">
        <v>30</v>
      </c>
      <c r="F28">
        <v>6</v>
      </c>
      <c r="G28">
        <f t="shared" si="0"/>
        <v>180</v>
      </c>
      <c r="N28">
        <v>40</v>
      </c>
    </row>
    <row r="29" spans="1:14" x14ac:dyDescent="0.3">
      <c r="A29" t="s">
        <v>23</v>
      </c>
      <c r="B29" t="s">
        <v>33</v>
      </c>
      <c r="C29" t="s">
        <v>29</v>
      </c>
      <c r="D29" t="s">
        <v>20</v>
      </c>
      <c r="E29">
        <v>836</v>
      </c>
      <c r="F29">
        <v>836</v>
      </c>
      <c r="G29">
        <f t="shared" si="0"/>
        <v>698896</v>
      </c>
      <c r="N29">
        <v>4000</v>
      </c>
    </row>
    <row r="30" spans="1:14" x14ac:dyDescent="0.3">
      <c r="A30" t="s">
        <v>23</v>
      </c>
      <c r="B30" t="s">
        <v>18</v>
      </c>
      <c r="C30" t="s">
        <v>19</v>
      </c>
      <c r="D30" t="s">
        <v>20</v>
      </c>
      <c r="E30">
        <v>24.12</v>
      </c>
      <c r="F30">
        <v>24.12</v>
      </c>
      <c r="G30">
        <f t="shared" si="0"/>
        <v>581.77440000000001</v>
      </c>
      <c r="N30">
        <v>52</v>
      </c>
    </row>
    <row r="31" spans="1:14" x14ac:dyDescent="0.3">
      <c r="A31" t="s">
        <v>36</v>
      </c>
      <c r="B31" t="s">
        <v>12</v>
      </c>
      <c r="C31" t="s">
        <v>13</v>
      </c>
      <c r="D31" t="s">
        <v>20</v>
      </c>
      <c r="E31">
        <v>1514.19</v>
      </c>
      <c r="F31">
        <v>1514.19</v>
      </c>
      <c r="G31">
        <f t="shared" si="0"/>
        <v>2292771.3561</v>
      </c>
      <c r="N31">
        <v>12.41</v>
      </c>
    </row>
    <row r="32" spans="1:14" x14ac:dyDescent="0.3">
      <c r="A32" t="s">
        <v>43</v>
      </c>
      <c r="B32" t="s">
        <v>49</v>
      </c>
      <c r="C32" t="s">
        <v>19</v>
      </c>
      <c r="D32" t="s">
        <v>20</v>
      </c>
      <c r="E32">
        <v>1113.46</v>
      </c>
      <c r="F32">
        <v>1113.46</v>
      </c>
      <c r="G32">
        <f t="shared" si="0"/>
        <v>1239793.1716</v>
      </c>
      <c r="N32">
        <v>52</v>
      </c>
    </row>
    <row r="33" spans="1:14" x14ac:dyDescent="0.3">
      <c r="A33" t="s">
        <v>32</v>
      </c>
      <c r="B33" t="s">
        <v>37</v>
      </c>
      <c r="C33" t="s">
        <v>51</v>
      </c>
      <c r="D33" t="s">
        <v>39</v>
      </c>
      <c r="E33">
        <v>99</v>
      </c>
      <c r="F33">
        <v>13.860000000000001</v>
      </c>
      <c r="G33">
        <f t="shared" si="0"/>
        <v>1372.14</v>
      </c>
      <c r="N33">
        <v>99</v>
      </c>
    </row>
    <row r="34" spans="1:14" x14ac:dyDescent="0.3">
      <c r="A34" t="s">
        <v>43</v>
      </c>
      <c r="B34" t="s">
        <v>49</v>
      </c>
      <c r="C34" t="s">
        <v>19</v>
      </c>
      <c r="D34" t="s">
        <v>20</v>
      </c>
      <c r="E34">
        <v>70</v>
      </c>
      <c r="F34">
        <v>234</v>
      </c>
      <c r="G34">
        <f t="shared" si="0"/>
        <v>16380</v>
      </c>
    </row>
    <row r="35" spans="1:14" x14ac:dyDescent="0.3">
      <c r="A35" t="s">
        <v>11</v>
      </c>
      <c r="B35" t="s">
        <v>54</v>
      </c>
      <c r="C35" t="s">
        <v>19</v>
      </c>
      <c r="D35" t="s">
        <v>20</v>
      </c>
      <c r="E35">
        <v>55</v>
      </c>
      <c r="F35">
        <v>55</v>
      </c>
      <c r="G35">
        <f t="shared" si="0"/>
        <v>3025</v>
      </c>
    </row>
    <row r="36" spans="1:14" x14ac:dyDescent="0.3">
      <c r="A36" t="s">
        <v>57</v>
      </c>
      <c r="B36" t="s">
        <v>33</v>
      </c>
      <c r="C36" t="s">
        <v>19</v>
      </c>
      <c r="D36" t="s">
        <v>20</v>
      </c>
      <c r="E36">
        <v>911.22</v>
      </c>
      <c r="F36">
        <v>911.22</v>
      </c>
      <c r="G36">
        <f t="shared" si="0"/>
        <v>830321.88840000005</v>
      </c>
    </row>
    <row r="37" spans="1:14" x14ac:dyDescent="0.3">
      <c r="A37" t="s">
        <v>36</v>
      </c>
      <c r="B37" t="s">
        <v>49</v>
      </c>
      <c r="C37" t="s">
        <v>19</v>
      </c>
      <c r="D37" t="s">
        <v>20</v>
      </c>
      <c r="E37">
        <v>2581.61</v>
      </c>
      <c r="F37">
        <v>764</v>
      </c>
      <c r="G37">
        <f t="shared" si="0"/>
        <v>1972350.04</v>
      </c>
    </row>
    <row r="38" spans="1:14" x14ac:dyDescent="0.3">
      <c r="A38" t="s">
        <v>11</v>
      </c>
      <c r="B38" t="s">
        <v>12</v>
      </c>
      <c r="C38" t="s">
        <v>13</v>
      </c>
      <c r="D38" t="s">
        <v>14</v>
      </c>
      <c r="E38">
        <v>955.8</v>
      </c>
      <c r="F38">
        <v>1032.2640000000001</v>
      </c>
      <c r="G38">
        <f t="shared" si="0"/>
        <v>986637.93120000011</v>
      </c>
    </row>
    <row r="39" spans="1:14" x14ac:dyDescent="0.3">
      <c r="A39" t="s">
        <v>17</v>
      </c>
      <c r="B39" t="s">
        <v>18</v>
      </c>
      <c r="C39" t="s">
        <v>19</v>
      </c>
      <c r="D39" t="s">
        <v>20</v>
      </c>
      <c r="E39">
        <v>12.41</v>
      </c>
      <c r="F39">
        <v>12.41</v>
      </c>
      <c r="G39">
        <f t="shared" si="0"/>
        <v>154.00810000000001</v>
      </c>
    </row>
    <row r="40" spans="1:14" x14ac:dyDescent="0.3">
      <c r="A40" t="s">
        <v>23</v>
      </c>
      <c r="B40" t="s">
        <v>12</v>
      </c>
      <c r="C40" t="s">
        <v>13</v>
      </c>
      <c r="D40" t="s">
        <v>20</v>
      </c>
      <c r="E40">
        <v>1842.59</v>
      </c>
      <c r="F40">
        <v>1842.59</v>
      </c>
      <c r="G40">
        <f t="shared" si="0"/>
        <v>3395137.9080999997</v>
      </c>
    </row>
    <row r="41" spans="1:14" x14ac:dyDescent="0.3">
      <c r="A41" t="s">
        <v>26</v>
      </c>
      <c r="B41" t="s">
        <v>12</v>
      </c>
      <c r="C41" t="s">
        <v>27</v>
      </c>
      <c r="D41" t="s">
        <v>14</v>
      </c>
      <c r="E41">
        <v>522.01</v>
      </c>
      <c r="F41">
        <v>563.77080000000001</v>
      </c>
      <c r="G41">
        <f t="shared" si="0"/>
        <v>294293.99530800001</v>
      </c>
    </row>
    <row r="42" spans="1:14" x14ac:dyDescent="0.3">
      <c r="A42" t="s">
        <v>26</v>
      </c>
      <c r="B42" t="s">
        <v>37</v>
      </c>
      <c r="C42" t="s">
        <v>29</v>
      </c>
      <c r="D42" t="s">
        <v>20</v>
      </c>
      <c r="E42">
        <v>874.91</v>
      </c>
      <c r="F42">
        <v>874.91</v>
      </c>
      <c r="G42">
        <f t="shared" si="0"/>
        <v>765467.50809999998</v>
      </c>
    </row>
    <row r="43" spans="1:14" x14ac:dyDescent="0.3">
      <c r="A43" t="s">
        <v>32</v>
      </c>
      <c r="B43" t="s">
        <v>33</v>
      </c>
      <c r="C43" t="s">
        <v>34</v>
      </c>
      <c r="D43" t="s">
        <v>20</v>
      </c>
      <c r="E43">
        <v>3800</v>
      </c>
      <c r="F43">
        <v>88</v>
      </c>
      <c r="G43">
        <f t="shared" si="0"/>
        <v>334400</v>
      </c>
    </row>
    <row r="44" spans="1:14" x14ac:dyDescent="0.3">
      <c r="A44" t="s">
        <v>36</v>
      </c>
      <c r="B44" t="s">
        <v>37</v>
      </c>
      <c r="C44" t="s">
        <v>38</v>
      </c>
      <c r="D44" t="s">
        <v>39</v>
      </c>
      <c r="E44">
        <v>80</v>
      </c>
      <c r="F44">
        <v>11.200000000000001</v>
      </c>
      <c r="G44">
        <f t="shared" si="0"/>
        <v>896.00000000000011</v>
      </c>
    </row>
    <row r="45" spans="1:14" x14ac:dyDescent="0.3">
      <c r="A45" t="s">
        <v>26</v>
      </c>
      <c r="B45" t="s">
        <v>37</v>
      </c>
      <c r="C45" t="s">
        <v>38</v>
      </c>
      <c r="D45" t="s">
        <v>39</v>
      </c>
      <c r="E45">
        <v>52</v>
      </c>
      <c r="F45">
        <v>5.6000000000000005</v>
      </c>
      <c r="G45">
        <f t="shared" si="0"/>
        <v>291.20000000000005</v>
      </c>
    </row>
    <row r="46" spans="1:14" x14ac:dyDescent="0.3">
      <c r="A46" t="s">
        <v>43</v>
      </c>
      <c r="B46" t="s">
        <v>33</v>
      </c>
      <c r="C46" t="s">
        <v>44</v>
      </c>
      <c r="D46" t="s">
        <v>20</v>
      </c>
      <c r="E46">
        <v>20</v>
      </c>
      <c r="F46">
        <v>6</v>
      </c>
      <c r="G46">
        <f t="shared" si="0"/>
        <v>120</v>
      </c>
    </row>
    <row r="47" spans="1:14" x14ac:dyDescent="0.3">
      <c r="A47" t="s">
        <v>23</v>
      </c>
      <c r="B47" t="s">
        <v>33</v>
      </c>
      <c r="C47" t="s">
        <v>29</v>
      </c>
      <c r="D47" t="s">
        <v>20</v>
      </c>
      <c r="E47">
        <v>836</v>
      </c>
      <c r="F47">
        <v>836</v>
      </c>
      <c r="G47">
        <f t="shared" si="0"/>
        <v>698896</v>
      </c>
    </row>
    <row r="48" spans="1:14" x14ac:dyDescent="0.3">
      <c r="A48" t="s">
        <v>23</v>
      </c>
      <c r="B48" t="s">
        <v>18</v>
      </c>
      <c r="C48" t="s">
        <v>19</v>
      </c>
      <c r="D48" t="s">
        <v>20</v>
      </c>
      <c r="E48">
        <v>24.12</v>
      </c>
      <c r="F48">
        <v>24.12</v>
      </c>
      <c r="G48">
        <f t="shared" si="0"/>
        <v>581.77440000000001</v>
      </c>
    </row>
    <row r="49" spans="1:7" x14ac:dyDescent="0.3">
      <c r="A49" t="s">
        <v>36</v>
      </c>
      <c r="B49" t="s">
        <v>12</v>
      </c>
      <c r="C49" t="s">
        <v>13</v>
      </c>
      <c r="D49" t="s">
        <v>20</v>
      </c>
      <c r="E49">
        <v>1200</v>
      </c>
      <c r="F49">
        <v>1514.19</v>
      </c>
      <c r="G49">
        <f t="shared" si="0"/>
        <v>1817028</v>
      </c>
    </row>
    <row r="50" spans="1:7" x14ac:dyDescent="0.3">
      <c r="A50" t="s">
        <v>43</v>
      </c>
      <c r="B50" t="s">
        <v>49</v>
      </c>
      <c r="C50" t="s">
        <v>19</v>
      </c>
      <c r="D50" t="s">
        <v>20</v>
      </c>
      <c r="E50">
        <v>1113.46</v>
      </c>
      <c r="F50">
        <v>1113.46</v>
      </c>
      <c r="G50">
        <f t="shared" si="0"/>
        <v>1239793.1716</v>
      </c>
    </row>
    <row r="51" spans="1:7" x14ac:dyDescent="0.3">
      <c r="A51" t="s">
        <v>32</v>
      </c>
      <c r="B51" t="s">
        <v>37</v>
      </c>
      <c r="C51" t="s">
        <v>51</v>
      </c>
      <c r="D51" t="s">
        <v>39</v>
      </c>
      <c r="E51">
        <v>99</v>
      </c>
      <c r="F51">
        <v>13.860000000000001</v>
      </c>
      <c r="G51">
        <f t="shared" si="0"/>
        <v>1372.14</v>
      </c>
    </row>
    <row r="52" spans="1:7" x14ac:dyDescent="0.3">
      <c r="A52" t="s">
        <v>43</v>
      </c>
      <c r="B52" t="s">
        <v>49</v>
      </c>
      <c r="C52" t="s">
        <v>19</v>
      </c>
      <c r="D52" t="s">
        <v>20</v>
      </c>
      <c r="E52">
        <v>45</v>
      </c>
      <c r="F52">
        <v>234</v>
      </c>
      <c r="G52">
        <f t="shared" si="0"/>
        <v>10530</v>
      </c>
    </row>
    <row r="53" spans="1:7" x14ac:dyDescent="0.3">
      <c r="A53" t="s">
        <v>11</v>
      </c>
      <c r="B53" t="s">
        <v>54</v>
      </c>
      <c r="C53" t="s">
        <v>19</v>
      </c>
      <c r="D53" t="s">
        <v>20</v>
      </c>
      <c r="E53">
        <v>55</v>
      </c>
      <c r="F53">
        <v>55</v>
      </c>
      <c r="G53">
        <f t="shared" si="0"/>
        <v>3025</v>
      </c>
    </row>
    <row r="54" spans="1:7" x14ac:dyDescent="0.3">
      <c r="A54" t="s">
        <v>57</v>
      </c>
      <c r="B54" t="s">
        <v>33</v>
      </c>
      <c r="C54" t="s">
        <v>19</v>
      </c>
      <c r="D54" t="s">
        <v>20</v>
      </c>
      <c r="E54">
        <v>911.22</v>
      </c>
      <c r="F54">
        <v>911.22</v>
      </c>
      <c r="G54">
        <f t="shared" si="0"/>
        <v>830321.88840000005</v>
      </c>
    </row>
    <row r="55" spans="1:7" x14ac:dyDescent="0.3">
      <c r="A55" t="s">
        <v>36</v>
      </c>
      <c r="B55" t="s">
        <v>49</v>
      </c>
      <c r="C55" t="s">
        <v>19</v>
      </c>
      <c r="D55" t="s">
        <v>20</v>
      </c>
      <c r="E55">
        <v>2300</v>
      </c>
      <c r="F55">
        <v>764</v>
      </c>
      <c r="G55">
        <f t="shared" si="0"/>
        <v>1757200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8F28E-ED70-453F-8FFF-0AB616FA7CF4}">
  <dimension ref="C2:L21"/>
  <sheetViews>
    <sheetView workbookViewId="0">
      <selection activeCell="L5" sqref="L5"/>
    </sheetView>
  </sheetViews>
  <sheetFormatPr defaultRowHeight="15.6" x14ac:dyDescent="0.3"/>
  <sheetData>
    <row r="2" spans="3:12" x14ac:dyDescent="0.3">
      <c r="C2" t="str" cm="1">
        <f t="array" ref="C2:H20">table1</f>
        <v>Country</v>
      </c>
      <c r="D2" t="str">
        <v>TransactionType</v>
      </c>
      <c r="E2" t="str">
        <v>Category</v>
      </c>
      <c r="F2" t="str">
        <v>Currency</v>
      </c>
      <c r="G2" t="str">
        <v>Amount</v>
      </c>
      <c r="H2" t="str">
        <v>AmountUSD</v>
      </c>
    </row>
    <row r="3" spans="3:12" x14ac:dyDescent="0.3">
      <c r="C3" t="str">
        <v>UK</v>
      </c>
      <c r="D3" t="str">
        <v>Withdrawal</v>
      </c>
      <c r="E3" t="str">
        <v>Dining</v>
      </c>
      <c r="F3" t="str">
        <v>EUR</v>
      </c>
      <c r="G3">
        <v>955.8</v>
      </c>
      <c r="H3">
        <v>1032.2640000000001</v>
      </c>
    </row>
    <row r="4" spans="3:12" x14ac:dyDescent="0.3">
      <c r="C4" t="str">
        <v>Japan</v>
      </c>
      <c r="D4" t="str">
        <v>Fee</v>
      </c>
      <c r="E4" t="str">
        <v>Other</v>
      </c>
      <c r="F4" t="str">
        <v>USD</v>
      </c>
      <c r="G4">
        <v>12.41</v>
      </c>
      <c r="H4">
        <v>12.41</v>
      </c>
    </row>
    <row r="5" spans="3:12" x14ac:dyDescent="0.3">
      <c r="C5" t="str">
        <v>Canada</v>
      </c>
      <c r="D5" t="str">
        <v>Withdrawal</v>
      </c>
      <c r="E5" t="str">
        <v>Dining</v>
      </c>
      <c r="F5" t="str">
        <v>USD</v>
      </c>
      <c r="G5">
        <v>1842.59</v>
      </c>
      <c r="H5">
        <v>1842.59</v>
      </c>
      <c r="L5">
        <f>SUM(Amount)</f>
        <v>46000.750000000007</v>
      </c>
    </row>
    <row r="6" spans="3:12" x14ac:dyDescent="0.3">
      <c r="C6" t="str">
        <v>USA</v>
      </c>
      <c r="D6" t="str">
        <v>Withdrawal</v>
      </c>
      <c r="E6" t="str">
        <v>Entertainment</v>
      </c>
      <c r="F6" t="str">
        <v>EUR</v>
      </c>
      <c r="G6">
        <v>522.01</v>
      </c>
      <c r="H6">
        <v>563.77080000000001</v>
      </c>
    </row>
    <row r="7" spans="3:12" x14ac:dyDescent="0.3">
      <c r="C7" t="str">
        <v>USA</v>
      </c>
      <c r="D7" t="str">
        <v>Deposit</v>
      </c>
      <c r="E7" t="str">
        <v>Shopping</v>
      </c>
      <c r="F7" t="str">
        <v>USD</v>
      </c>
      <c r="G7">
        <v>874.91</v>
      </c>
      <c r="H7">
        <v>874.91</v>
      </c>
    </row>
    <row r="8" spans="3:12" x14ac:dyDescent="0.3">
      <c r="C8" t="str">
        <v>Australia</v>
      </c>
      <c r="D8" t="str">
        <v>Payment</v>
      </c>
      <c r="E8" t="str">
        <v>Education</v>
      </c>
      <c r="F8" t="str">
        <v>USD</v>
      </c>
      <c r="G8">
        <v>4131.9399999999996</v>
      </c>
      <c r="H8">
        <v>88</v>
      </c>
    </row>
    <row r="9" spans="3:12" x14ac:dyDescent="0.3">
      <c r="C9" t="str">
        <v>Singapore</v>
      </c>
      <c r="D9" t="str">
        <v>Deposit</v>
      </c>
      <c r="E9" t="str">
        <v>Salary</v>
      </c>
      <c r="F9" t="str">
        <v>CNY</v>
      </c>
      <c r="G9">
        <v>80</v>
      </c>
      <c r="H9">
        <v>11.200000000000001</v>
      </c>
    </row>
    <row r="10" spans="3:12" x14ac:dyDescent="0.3">
      <c r="C10" t="str">
        <v>USA</v>
      </c>
      <c r="D10" t="str">
        <v>Deposit</v>
      </c>
      <c r="E10" t="str">
        <v>Salary</v>
      </c>
      <c r="F10" t="str">
        <v>CNY</v>
      </c>
      <c r="G10">
        <v>40</v>
      </c>
      <c r="H10">
        <v>5.6000000000000005</v>
      </c>
    </row>
    <row r="11" spans="3:12" x14ac:dyDescent="0.3">
      <c r="C11" t="str">
        <v>Germany</v>
      </c>
      <c r="D11" t="str">
        <v>Payment</v>
      </c>
      <c r="E11" t="str">
        <v>Insurance</v>
      </c>
      <c r="F11" t="str">
        <v>USD</v>
      </c>
      <c r="G11">
        <v>20</v>
      </c>
      <c r="H11">
        <v>6</v>
      </c>
    </row>
    <row r="12" spans="3:12" x14ac:dyDescent="0.3">
      <c r="C12" t="str">
        <v>Canada</v>
      </c>
      <c r="D12" t="str">
        <v>Payment</v>
      </c>
      <c r="E12" t="str">
        <v>Shopping</v>
      </c>
      <c r="F12" t="str">
        <v>USD</v>
      </c>
      <c r="G12">
        <v>836</v>
      </c>
      <c r="H12">
        <v>836</v>
      </c>
    </row>
    <row r="13" spans="3:12" x14ac:dyDescent="0.3">
      <c r="C13" t="str">
        <v>Canada</v>
      </c>
      <c r="D13" t="str">
        <v>Fee</v>
      </c>
      <c r="E13" t="str">
        <v>Other</v>
      </c>
      <c r="F13" t="str">
        <v>USD</v>
      </c>
      <c r="G13">
        <v>24.12</v>
      </c>
      <c r="H13">
        <v>24.12</v>
      </c>
    </row>
    <row r="14" spans="3:12" x14ac:dyDescent="0.3">
      <c r="C14" t="str">
        <v>Singapore</v>
      </c>
      <c r="D14" t="str">
        <v>Withdrawal</v>
      </c>
      <c r="E14" t="str">
        <v>Dining</v>
      </c>
      <c r="F14" t="str">
        <v>USD</v>
      </c>
      <c r="G14">
        <v>1514.19</v>
      </c>
      <c r="H14">
        <v>1514.19</v>
      </c>
    </row>
    <row r="15" spans="3:12" x14ac:dyDescent="0.3">
      <c r="C15" t="str">
        <v>Germany</v>
      </c>
      <c r="D15" t="str">
        <v>Transfer</v>
      </c>
      <c r="E15" t="str">
        <v>Other</v>
      </c>
      <c r="F15" t="str">
        <v>USD</v>
      </c>
      <c r="G15">
        <v>1113.46</v>
      </c>
      <c r="H15">
        <v>1113.46</v>
      </c>
    </row>
    <row r="16" spans="3:12" x14ac:dyDescent="0.3">
      <c r="C16" t="str">
        <v>Australia</v>
      </c>
      <c r="D16" t="str">
        <v>Deposit</v>
      </c>
      <c r="E16" t="str">
        <v>Investment</v>
      </c>
      <c r="F16" t="str">
        <v>CNY</v>
      </c>
      <c r="G16">
        <v>99</v>
      </c>
      <c r="H16">
        <v>13.860000000000001</v>
      </c>
    </row>
    <row r="17" spans="3:8" x14ac:dyDescent="0.3">
      <c r="C17" t="str">
        <v>Germany</v>
      </c>
      <c r="D17" t="str">
        <v>Transfer</v>
      </c>
      <c r="E17" t="str">
        <v>Other</v>
      </c>
      <c r="F17" t="str">
        <v>USD</v>
      </c>
      <c r="G17">
        <v>45</v>
      </c>
      <c r="H17">
        <v>234</v>
      </c>
    </row>
    <row r="18" spans="3:8" x14ac:dyDescent="0.3">
      <c r="C18" t="str">
        <v>UK</v>
      </c>
      <c r="D18" t="str">
        <v>Loan</v>
      </c>
      <c r="E18" t="str">
        <v>Other</v>
      </c>
      <c r="F18" t="str">
        <v>USD</v>
      </c>
      <c r="G18">
        <v>55</v>
      </c>
      <c r="H18">
        <v>55</v>
      </c>
    </row>
    <row r="19" spans="3:8" x14ac:dyDescent="0.3">
      <c r="C19" t="str">
        <v>UAE</v>
      </c>
      <c r="D19" t="str">
        <v>Payment</v>
      </c>
      <c r="E19" t="str">
        <v>Other</v>
      </c>
      <c r="F19" t="str">
        <v>USD</v>
      </c>
      <c r="G19">
        <v>911.22</v>
      </c>
      <c r="H19">
        <v>911.22</v>
      </c>
    </row>
    <row r="20" spans="3:8" x14ac:dyDescent="0.3">
      <c r="C20" t="str">
        <v>Singapore</v>
      </c>
      <c r="D20" t="str">
        <v>Transfer</v>
      </c>
      <c r="E20" t="str">
        <v>Other</v>
      </c>
      <c r="F20" t="str">
        <v>USD</v>
      </c>
      <c r="G20">
        <v>2581.61</v>
      </c>
      <c r="H20">
        <v>764</v>
      </c>
    </row>
    <row r="21" spans="3:8" x14ac:dyDescent="0.3">
      <c r="G21">
        <f>SUM(G3:G20)</f>
        <v>15659.26</v>
      </c>
    </row>
  </sheetData>
  <pageMargins left="0.7" right="0.7" top="0.75" bottom="0.75" header="0.3" footer="0.3"/>
  <cellWatches>
    <cellWatch r="L5"/>
  </cellWatch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EFEF-0CA8-4735-BE4B-D05F65C43612}">
  <dimension ref="A1:O240"/>
  <sheetViews>
    <sheetView workbookViewId="0">
      <selection activeCell="B10" sqref="B10"/>
    </sheetView>
  </sheetViews>
  <sheetFormatPr defaultRowHeight="15.6" x14ac:dyDescent="0.3"/>
  <cols>
    <col min="1" max="1" width="7.296875" bestFit="1" customWidth="1"/>
    <col min="2" max="2" width="38.5" bestFit="1" customWidth="1"/>
    <col min="3" max="3" width="12.59765625" bestFit="1" customWidth="1"/>
    <col min="4" max="4" width="22.5" bestFit="1" customWidth="1"/>
    <col min="5" max="5" width="13.19921875" bestFit="1" customWidth="1"/>
    <col min="6" max="6" width="11.5" bestFit="1" customWidth="1"/>
    <col min="7" max="7" width="11.8984375" bestFit="1" customWidth="1"/>
    <col min="8" max="8" width="15.59765625" bestFit="1" customWidth="1"/>
    <col min="9" max="9" width="7.8984375" bestFit="1" customWidth="1"/>
    <col min="10" max="10" width="9.5" bestFit="1" customWidth="1"/>
    <col min="11" max="11" width="39.09765625" bestFit="1" customWidth="1"/>
    <col min="12" max="12" width="37.69921875" bestFit="1" customWidth="1"/>
    <col min="13" max="13" width="28.59765625" bestFit="1" customWidth="1"/>
    <col min="14" max="14" width="8.8984375" bestFit="1" customWidth="1"/>
    <col min="15" max="15" width="8.296875" bestFit="1" customWidth="1"/>
  </cols>
  <sheetData>
    <row r="1" spans="1:15" x14ac:dyDescent="0.3">
      <c r="A1" t="s">
        <v>87</v>
      </c>
      <c r="B1" t="s">
        <v>88</v>
      </c>
      <c r="C1" t="s">
        <v>89</v>
      </c>
      <c r="D1" t="s">
        <v>90</v>
      </c>
      <c r="E1" t="s">
        <v>91</v>
      </c>
      <c r="F1" t="s">
        <v>92</v>
      </c>
      <c r="G1" t="s">
        <v>93</v>
      </c>
      <c r="H1" t="s">
        <v>94</v>
      </c>
      <c r="I1" t="s">
        <v>95</v>
      </c>
      <c r="J1" t="s">
        <v>96</v>
      </c>
      <c r="K1" t="s">
        <v>97</v>
      </c>
      <c r="L1" t="s">
        <v>98</v>
      </c>
      <c r="M1" t="s">
        <v>99</v>
      </c>
      <c r="N1" t="s">
        <v>100</v>
      </c>
      <c r="O1" t="s">
        <v>101</v>
      </c>
    </row>
    <row r="2" spans="1:15" x14ac:dyDescent="0.3">
      <c r="A2" s="10" t="s">
        <v>102</v>
      </c>
      <c r="B2" s="10" t="s">
        <v>103</v>
      </c>
      <c r="C2" s="10" t="s">
        <v>104</v>
      </c>
      <c r="D2" s="10" t="s">
        <v>105</v>
      </c>
      <c r="E2">
        <v>193</v>
      </c>
      <c r="G2">
        <v>103000</v>
      </c>
      <c r="H2">
        <v>78.400000000000006</v>
      </c>
      <c r="I2">
        <v>828</v>
      </c>
      <c r="J2">
        <v>793</v>
      </c>
      <c r="K2" s="10" t="s">
        <v>103</v>
      </c>
      <c r="L2" s="10" t="s">
        <v>106</v>
      </c>
      <c r="M2" s="10" t="s">
        <v>107</v>
      </c>
      <c r="N2">
        <v>129</v>
      </c>
      <c r="O2" s="10" t="s">
        <v>108</v>
      </c>
    </row>
    <row r="3" spans="1:15" x14ac:dyDescent="0.3">
      <c r="A3" s="10" t="s">
        <v>109</v>
      </c>
      <c r="B3" s="10" t="s">
        <v>110</v>
      </c>
      <c r="C3" s="10" t="s">
        <v>111</v>
      </c>
      <c r="D3" s="10" t="s">
        <v>112</v>
      </c>
      <c r="E3">
        <v>652090</v>
      </c>
      <c r="F3">
        <v>1919</v>
      </c>
      <c r="G3">
        <v>22720000</v>
      </c>
      <c r="H3">
        <v>45.9</v>
      </c>
      <c r="I3">
        <v>5976</v>
      </c>
      <c r="K3" s="10" t="s">
        <v>113</v>
      </c>
      <c r="L3" s="10" t="s">
        <v>114</v>
      </c>
      <c r="M3" s="10" t="s">
        <v>115</v>
      </c>
      <c r="N3">
        <v>1</v>
      </c>
      <c r="O3" s="10" t="s">
        <v>116</v>
      </c>
    </row>
    <row r="4" spans="1:15" x14ac:dyDescent="0.3">
      <c r="A4" s="10" t="s">
        <v>117</v>
      </c>
      <c r="B4" s="10" t="s">
        <v>118</v>
      </c>
      <c r="C4" s="10" t="s">
        <v>119</v>
      </c>
      <c r="D4" s="10" t="s">
        <v>120</v>
      </c>
      <c r="E4">
        <v>1246700</v>
      </c>
      <c r="F4">
        <v>1975</v>
      </c>
      <c r="G4">
        <v>12878000</v>
      </c>
      <c r="H4">
        <v>38.299999999999997</v>
      </c>
      <c r="I4">
        <v>6648</v>
      </c>
      <c r="J4">
        <v>7984</v>
      </c>
      <c r="K4" s="10" t="s">
        <v>118</v>
      </c>
      <c r="L4" s="10" t="s">
        <v>121</v>
      </c>
      <c r="M4" s="10" t="s">
        <v>122</v>
      </c>
      <c r="N4">
        <v>56</v>
      </c>
      <c r="O4" s="10" t="s">
        <v>123</v>
      </c>
    </row>
    <row r="5" spans="1:15" x14ac:dyDescent="0.3">
      <c r="A5" s="10" t="s">
        <v>124</v>
      </c>
      <c r="B5" s="10" t="s">
        <v>125</v>
      </c>
      <c r="C5" s="10" t="s">
        <v>104</v>
      </c>
      <c r="D5" s="10" t="s">
        <v>105</v>
      </c>
      <c r="E5">
        <v>96</v>
      </c>
      <c r="G5">
        <v>8000</v>
      </c>
      <c r="H5">
        <v>76.099999999999994</v>
      </c>
      <c r="I5">
        <v>63.2</v>
      </c>
      <c r="K5" s="10" t="s">
        <v>125</v>
      </c>
      <c r="L5" s="10" t="s">
        <v>126</v>
      </c>
      <c r="M5" s="10" t="s">
        <v>127</v>
      </c>
      <c r="N5">
        <v>62</v>
      </c>
      <c r="O5" s="10" t="s">
        <v>128</v>
      </c>
    </row>
    <row r="6" spans="1:15" x14ac:dyDescent="0.3">
      <c r="A6" s="10" t="s">
        <v>129</v>
      </c>
      <c r="B6" s="10" t="s">
        <v>130</v>
      </c>
      <c r="C6" s="10" t="s">
        <v>131</v>
      </c>
      <c r="D6" s="10" t="s">
        <v>132</v>
      </c>
      <c r="E6">
        <v>28748</v>
      </c>
      <c r="F6">
        <v>1912</v>
      </c>
      <c r="G6">
        <v>3401200</v>
      </c>
      <c r="H6">
        <v>71.599999999999994</v>
      </c>
      <c r="I6">
        <v>3205</v>
      </c>
      <c r="J6">
        <v>2500</v>
      </c>
      <c r="K6" s="10" t="s">
        <v>133</v>
      </c>
      <c r="L6" s="10" t="s">
        <v>121</v>
      </c>
      <c r="M6" s="10" t="s">
        <v>134</v>
      </c>
      <c r="N6">
        <v>34</v>
      </c>
      <c r="O6" s="10" t="s">
        <v>135</v>
      </c>
    </row>
    <row r="7" spans="1:15" x14ac:dyDescent="0.3">
      <c r="A7" s="10" t="s">
        <v>136</v>
      </c>
      <c r="B7" s="10" t="s">
        <v>137</v>
      </c>
      <c r="C7" s="10" t="s">
        <v>131</v>
      </c>
      <c r="D7" s="10" t="s">
        <v>132</v>
      </c>
      <c r="E7">
        <v>468</v>
      </c>
      <c r="F7">
        <v>1278</v>
      </c>
      <c r="G7">
        <v>78000</v>
      </c>
      <c r="H7">
        <v>83.5</v>
      </c>
      <c r="I7">
        <v>1630</v>
      </c>
      <c r="K7" s="10" t="s">
        <v>137</v>
      </c>
      <c r="L7" s="10" t="s">
        <v>138</v>
      </c>
      <c r="M7" s="10" t="s">
        <v>139</v>
      </c>
      <c r="N7">
        <v>55</v>
      </c>
      <c r="O7" s="10" t="s">
        <v>140</v>
      </c>
    </row>
    <row r="8" spans="1:15" x14ac:dyDescent="0.3">
      <c r="A8" s="10" t="s">
        <v>141</v>
      </c>
      <c r="B8" s="10" t="s">
        <v>142</v>
      </c>
      <c r="C8" s="10" t="s">
        <v>104</v>
      </c>
      <c r="D8" s="10" t="s">
        <v>105</v>
      </c>
      <c r="E8">
        <v>800</v>
      </c>
      <c r="G8">
        <v>217000</v>
      </c>
      <c r="H8">
        <v>74.7</v>
      </c>
      <c r="I8">
        <v>1941</v>
      </c>
      <c r="K8" s="10" t="s">
        <v>143</v>
      </c>
      <c r="L8" s="10" t="s">
        <v>106</v>
      </c>
      <c r="M8" s="10" t="s">
        <v>107</v>
      </c>
      <c r="N8">
        <v>33</v>
      </c>
      <c r="O8" s="10" t="s">
        <v>144</v>
      </c>
    </row>
    <row r="9" spans="1:15" x14ac:dyDescent="0.3">
      <c r="A9" s="10" t="s">
        <v>145</v>
      </c>
      <c r="B9" s="10" t="s">
        <v>146</v>
      </c>
      <c r="C9" s="10" t="s">
        <v>111</v>
      </c>
      <c r="D9" s="10" t="s">
        <v>147</v>
      </c>
      <c r="E9">
        <v>83600</v>
      </c>
      <c r="F9">
        <v>1971</v>
      </c>
      <c r="G9">
        <v>2441000</v>
      </c>
      <c r="H9">
        <v>74.099999999999994</v>
      </c>
      <c r="I9">
        <v>37966</v>
      </c>
      <c r="J9">
        <v>36846</v>
      </c>
      <c r="K9" s="10" t="s">
        <v>148</v>
      </c>
      <c r="L9" s="10" t="s">
        <v>149</v>
      </c>
      <c r="M9" s="10" t="s">
        <v>150</v>
      </c>
      <c r="N9">
        <v>65</v>
      </c>
      <c r="O9" s="10" t="s">
        <v>151</v>
      </c>
    </row>
    <row r="10" spans="1:15" x14ac:dyDescent="0.3">
      <c r="A10" s="10" t="s">
        <v>152</v>
      </c>
      <c r="B10" s="10" t="s">
        <v>153</v>
      </c>
      <c r="C10" s="10" t="s">
        <v>154</v>
      </c>
      <c r="D10" s="10" t="s">
        <v>154</v>
      </c>
      <c r="E10">
        <v>2780400</v>
      </c>
      <c r="F10">
        <v>1816</v>
      </c>
      <c r="G10">
        <v>37032000</v>
      </c>
      <c r="H10">
        <v>75.099999999999994</v>
      </c>
      <c r="I10">
        <v>340238</v>
      </c>
      <c r="J10">
        <v>323310</v>
      </c>
      <c r="K10" s="10" t="s">
        <v>153</v>
      </c>
      <c r="L10" s="10" t="s">
        <v>155</v>
      </c>
      <c r="M10" s="10" t="s">
        <v>156</v>
      </c>
      <c r="N10">
        <v>69</v>
      </c>
      <c r="O10" s="10" t="s">
        <v>157</v>
      </c>
    </row>
    <row r="11" spans="1:15" x14ac:dyDescent="0.3">
      <c r="A11" s="10" t="s">
        <v>158</v>
      </c>
      <c r="B11" s="10" t="s">
        <v>159</v>
      </c>
      <c r="C11" s="10" t="s">
        <v>111</v>
      </c>
      <c r="D11" s="10" t="s">
        <v>147</v>
      </c>
      <c r="E11">
        <v>29800</v>
      </c>
      <c r="F11">
        <v>1991</v>
      </c>
      <c r="G11">
        <v>3520000</v>
      </c>
      <c r="H11">
        <v>66.400000000000006</v>
      </c>
      <c r="I11">
        <v>1813</v>
      </c>
      <c r="J11">
        <v>1627</v>
      </c>
      <c r="K11" s="10" t="s">
        <v>160</v>
      </c>
      <c r="L11" s="10" t="s">
        <v>121</v>
      </c>
      <c r="M11" s="10" t="s">
        <v>161</v>
      </c>
      <c r="N11">
        <v>126</v>
      </c>
      <c r="O11" s="10" t="s">
        <v>162</v>
      </c>
    </row>
    <row r="12" spans="1:15" x14ac:dyDescent="0.3">
      <c r="A12" s="10" t="s">
        <v>163</v>
      </c>
      <c r="B12" s="10" t="s">
        <v>164</v>
      </c>
      <c r="C12" s="10" t="s">
        <v>165</v>
      </c>
      <c r="D12" s="10" t="s">
        <v>166</v>
      </c>
      <c r="E12">
        <v>199</v>
      </c>
      <c r="G12">
        <v>68000</v>
      </c>
      <c r="H12">
        <v>75.099999999999994</v>
      </c>
      <c r="I12">
        <v>334</v>
      </c>
      <c r="K12" s="10" t="s">
        <v>167</v>
      </c>
      <c r="L12" s="10" t="s">
        <v>168</v>
      </c>
      <c r="M12" s="10" t="s">
        <v>169</v>
      </c>
      <c r="N12">
        <v>54</v>
      </c>
      <c r="O12" s="10" t="s">
        <v>170</v>
      </c>
    </row>
    <row r="13" spans="1:15" x14ac:dyDescent="0.3">
      <c r="A13" s="10" t="s">
        <v>171</v>
      </c>
      <c r="B13" s="10" t="s">
        <v>172</v>
      </c>
      <c r="C13" s="10" t="s">
        <v>172</v>
      </c>
      <c r="D13" s="10" t="s">
        <v>172</v>
      </c>
      <c r="E13">
        <v>13120000</v>
      </c>
      <c r="G13">
        <v>0</v>
      </c>
      <c r="I13">
        <v>0</v>
      </c>
      <c r="K13" s="10" t="s">
        <v>173</v>
      </c>
      <c r="L13" s="10" t="s">
        <v>174</v>
      </c>
      <c r="M13" s="10" t="s">
        <v>139</v>
      </c>
      <c r="O13" s="10" t="s">
        <v>175</v>
      </c>
    </row>
    <row r="14" spans="1:15" x14ac:dyDescent="0.3">
      <c r="A14" s="10" t="s">
        <v>176</v>
      </c>
      <c r="B14" s="10" t="s">
        <v>177</v>
      </c>
      <c r="C14" s="10" t="s">
        <v>172</v>
      </c>
      <c r="D14" s="10" t="s">
        <v>172</v>
      </c>
      <c r="E14">
        <v>7780</v>
      </c>
      <c r="G14">
        <v>0</v>
      </c>
      <c r="I14">
        <v>0</v>
      </c>
      <c r="K14" s="10" t="s">
        <v>178</v>
      </c>
      <c r="L14" s="10" t="s">
        <v>179</v>
      </c>
      <c r="M14" s="10" t="s">
        <v>180</v>
      </c>
      <c r="O14" s="10" t="s">
        <v>181</v>
      </c>
    </row>
    <row r="15" spans="1:15" x14ac:dyDescent="0.3">
      <c r="A15" s="10" t="s">
        <v>182</v>
      </c>
      <c r="B15" s="10" t="s">
        <v>183</v>
      </c>
      <c r="C15" s="10" t="s">
        <v>104</v>
      </c>
      <c r="D15" s="10" t="s">
        <v>105</v>
      </c>
      <c r="E15">
        <v>442</v>
      </c>
      <c r="F15">
        <v>1981</v>
      </c>
      <c r="G15">
        <v>68000</v>
      </c>
      <c r="H15">
        <v>70.5</v>
      </c>
      <c r="I15">
        <v>612</v>
      </c>
      <c r="J15">
        <v>584</v>
      </c>
      <c r="K15" s="10" t="s">
        <v>183</v>
      </c>
      <c r="L15" s="10" t="s">
        <v>184</v>
      </c>
      <c r="M15" s="10" t="s">
        <v>127</v>
      </c>
      <c r="N15">
        <v>63</v>
      </c>
      <c r="O15" s="10" t="s">
        <v>185</v>
      </c>
    </row>
    <row r="16" spans="1:15" x14ac:dyDescent="0.3">
      <c r="A16" s="10" t="s">
        <v>186</v>
      </c>
      <c r="B16" s="10" t="s">
        <v>32</v>
      </c>
      <c r="C16" s="10" t="s">
        <v>165</v>
      </c>
      <c r="D16" s="10" t="s">
        <v>187</v>
      </c>
      <c r="E16">
        <v>7741220</v>
      </c>
      <c r="F16">
        <v>1901</v>
      </c>
      <c r="G16">
        <v>18886000</v>
      </c>
      <c r="H16">
        <v>79.8</v>
      </c>
      <c r="I16">
        <v>351182</v>
      </c>
      <c r="J16">
        <v>392911</v>
      </c>
      <c r="K16" s="10" t="s">
        <v>32</v>
      </c>
      <c r="L16" s="10" t="s">
        <v>188</v>
      </c>
      <c r="M16" s="10" t="s">
        <v>127</v>
      </c>
      <c r="N16">
        <v>135</v>
      </c>
      <c r="O16" s="10" t="s">
        <v>189</v>
      </c>
    </row>
    <row r="17" spans="1:15" x14ac:dyDescent="0.3">
      <c r="A17" s="10" t="s">
        <v>190</v>
      </c>
      <c r="B17" s="10" t="s">
        <v>191</v>
      </c>
      <c r="C17" s="10" t="s">
        <v>131</v>
      </c>
      <c r="D17" s="10" t="s">
        <v>192</v>
      </c>
      <c r="E17">
        <v>83859</v>
      </c>
      <c r="F17">
        <v>1918</v>
      </c>
      <c r="G17">
        <v>8091800</v>
      </c>
      <c r="H17">
        <v>77.7</v>
      </c>
      <c r="I17">
        <v>211860</v>
      </c>
      <c r="J17">
        <v>206025</v>
      </c>
      <c r="K17" s="10" t="s">
        <v>193</v>
      </c>
      <c r="L17" s="10" t="s">
        <v>155</v>
      </c>
      <c r="M17" s="10" t="s">
        <v>194</v>
      </c>
      <c r="N17">
        <v>1523</v>
      </c>
      <c r="O17" s="10" t="s">
        <v>195</v>
      </c>
    </row>
    <row r="18" spans="1:15" x14ac:dyDescent="0.3">
      <c r="A18" s="10" t="s">
        <v>196</v>
      </c>
      <c r="B18" s="10" t="s">
        <v>197</v>
      </c>
      <c r="C18" s="10" t="s">
        <v>111</v>
      </c>
      <c r="D18" s="10" t="s">
        <v>147</v>
      </c>
      <c r="E18">
        <v>86600</v>
      </c>
      <c r="F18">
        <v>1991</v>
      </c>
      <c r="G18">
        <v>7734000</v>
      </c>
      <c r="H18">
        <v>62.9</v>
      </c>
      <c r="I18">
        <v>4127</v>
      </c>
      <c r="J18">
        <v>4100</v>
      </c>
      <c r="K18" s="10" t="s">
        <v>198</v>
      </c>
      <c r="L18" s="10" t="s">
        <v>155</v>
      </c>
      <c r="M18" s="10" t="s">
        <v>199</v>
      </c>
      <c r="N18">
        <v>144</v>
      </c>
      <c r="O18" s="10" t="s">
        <v>200</v>
      </c>
    </row>
    <row r="19" spans="1:15" x14ac:dyDescent="0.3">
      <c r="A19" s="10" t="s">
        <v>201</v>
      </c>
      <c r="B19" s="10" t="s">
        <v>202</v>
      </c>
      <c r="C19" s="10" t="s">
        <v>119</v>
      </c>
      <c r="D19" s="10" t="s">
        <v>203</v>
      </c>
      <c r="E19">
        <v>27834</v>
      </c>
      <c r="F19">
        <v>1962</v>
      </c>
      <c r="G19">
        <v>6695000</v>
      </c>
      <c r="H19">
        <v>46.2</v>
      </c>
      <c r="I19">
        <v>903</v>
      </c>
      <c r="J19">
        <v>982</v>
      </c>
      <c r="K19" s="10" t="s">
        <v>204</v>
      </c>
      <c r="L19" s="10" t="s">
        <v>121</v>
      </c>
      <c r="M19" s="10" t="s">
        <v>205</v>
      </c>
      <c r="N19">
        <v>552</v>
      </c>
      <c r="O19" s="10" t="s">
        <v>206</v>
      </c>
    </row>
    <row r="20" spans="1:15" x14ac:dyDescent="0.3">
      <c r="A20" s="10" t="s">
        <v>207</v>
      </c>
      <c r="B20" s="10" t="s">
        <v>208</v>
      </c>
      <c r="C20" s="10" t="s">
        <v>131</v>
      </c>
      <c r="D20" s="10" t="s">
        <v>192</v>
      </c>
      <c r="E20">
        <v>30518</v>
      </c>
      <c r="F20">
        <v>1830</v>
      </c>
      <c r="G20">
        <v>10239000</v>
      </c>
      <c r="H20">
        <v>77.8</v>
      </c>
      <c r="I20">
        <v>249704</v>
      </c>
      <c r="J20">
        <v>243948</v>
      </c>
      <c r="K20" s="10" t="s">
        <v>209</v>
      </c>
      <c r="L20" s="10" t="s">
        <v>188</v>
      </c>
      <c r="M20" s="10" t="s">
        <v>210</v>
      </c>
      <c r="N20">
        <v>179</v>
      </c>
      <c r="O20" s="10" t="s">
        <v>211</v>
      </c>
    </row>
    <row r="21" spans="1:15" x14ac:dyDescent="0.3">
      <c r="A21" s="10" t="s">
        <v>212</v>
      </c>
      <c r="B21" s="10" t="s">
        <v>213</v>
      </c>
      <c r="C21" s="10" t="s">
        <v>119</v>
      </c>
      <c r="D21" s="10" t="s">
        <v>214</v>
      </c>
      <c r="E21">
        <v>112622</v>
      </c>
      <c r="F21">
        <v>1960</v>
      </c>
      <c r="G21">
        <v>6097000</v>
      </c>
      <c r="H21">
        <v>50.2</v>
      </c>
      <c r="I21">
        <v>2357</v>
      </c>
      <c r="J21">
        <v>2141</v>
      </c>
      <c r="K21" s="10" t="s">
        <v>215</v>
      </c>
      <c r="L21" s="10" t="s">
        <v>121</v>
      </c>
      <c r="M21" s="10" t="s">
        <v>216</v>
      </c>
      <c r="N21">
        <v>187</v>
      </c>
      <c r="O21" s="10" t="s">
        <v>217</v>
      </c>
    </row>
    <row r="22" spans="1:15" x14ac:dyDescent="0.3">
      <c r="A22" s="10" t="s">
        <v>218</v>
      </c>
      <c r="B22" s="10" t="s">
        <v>219</v>
      </c>
      <c r="C22" s="10" t="s">
        <v>119</v>
      </c>
      <c r="D22" s="10" t="s">
        <v>214</v>
      </c>
      <c r="E22">
        <v>274000</v>
      </c>
      <c r="F22">
        <v>1960</v>
      </c>
      <c r="G22">
        <v>11937000</v>
      </c>
      <c r="H22">
        <v>46.7</v>
      </c>
      <c r="I22">
        <v>2425</v>
      </c>
      <c r="J22">
        <v>2201</v>
      </c>
      <c r="K22" s="10" t="s">
        <v>219</v>
      </c>
      <c r="L22" s="10" t="s">
        <v>121</v>
      </c>
      <c r="M22" s="10" t="s">
        <v>220</v>
      </c>
      <c r="N22">
        <v>549</v>
      </c>
      <c r="O22" s="10" t="s">
        <v>221</v>
      </c>
    </row>
    <row r="23" spans="1:15" x14ac:dyDescent="0.3">
      <c r="A23" s="10" t="s">
        <v>222</v>
      </c>
      <c r="B23" s="10" t="s">
        <v>223</v>
      </c>
      <c r="C23" s="10" t="s">
        <v>111</v>
      </c>
      <c r="D23" s="10" t="s">
        <v>112</v>
      </c>
      <c r="E23">
        <v>143998</v>
      </c>
      <c r="F23">
        <v>1971</v>
      </c>
      <c r="G23">
        <v>129155000</v>
      </c>
      <c r="H23">
        <v>60.2</v>
      </c>
      <c r="I23">
        <v>32852</v>
      </c>
      <c r="J23">
        <v>31966</v>
      </c>
      <c r="K23" s="10" t="s">
        <v>223</v>
      </c>
      <c r="L23" s="10" t="s">
        <v>121</v>
      </c>
      <c r="M23" s="10" t="s">
        <v>224</v>
      </c>
      <c r="N23">
        <v>150</v>
      </c>
      <c r="O23" s="10" t="s">
        <v>225</v>
      </c>
    </row>
    <row r="24" spans="1:15" x14ac:dyDescent="0.3">
      <c r="A24" s="10" t="s">
        <v>226</v>
      </c>
      <c r="B24" s="10" t="s">
        <v>227</v>
      </c>
      <c r="C24" s="10" t="s">
        <v>131</v>
      </c>
      <c r="D24" s="10" t="s">
        <v>228</v>
      </c>
      <c r="E24">
        <v>110994</v>
      </c>
      <c r="F24">
        <v>1908</v>
      </c>
      <c r="G24">
        <v>8190900</v>
      </c>
      <c r="H24">
        <v>70.900000000000006</v>
      </c>
      <c r="I24">
        <v>12178</v>
      </c>
      <c r="J24">
        <v>10169</v>
      </c>
      <c r="K24" s="10" t="s">
        <v>229</v>
      </c>
      <c r="L24" s="10" t="s">
        <v>121</v>
      </c>
      <c r="M24" s="10" t="s">
        <v>230</v>
      </c>
      <c r="N24">
        <v>539</v>
      </c>
      <c r="O24" s="10" t="s">
        <v>231</v>
      </c>
    </row>
    <row r="25" spans="1:15" x14ac:dyDescent="0.3">
      <c r="A25" s="10" t="s">
        <v>232</v>
      </c>
      <c r="B25" s="10" t="s">
        <v>233</v>
      </c>
      <c r="C25" s="10" t="s">
        <v>111</v>
      </c>
      <c r="D25" s="10" t="s">
        <v>147</v>
      </c>
      <c r="E25">
        <v>694</v>
      </c>
      <c r="F25">
        <v>1971</v>
      </c>
      <c r="G25">
        <v>623170</v>
      </c>
      <c r="H25">
        <v>73</v>
      </c>
      <c r="I25">
        <v>6366</v>
      </c>
      <c r="J25">
        <v>6097</v>
      </c>
      <c r="K25" s="10" t="s">
        <v>234</v>
      </c>
      <c r="L25" s="10" t="s">
        <v>235</v>
      </c>
      <c r="M25" s="10" t="s">
        <v>236</v>
      </c>
      <c r="N25">
        <v>149</v>
      </c>
      <c r="O25" s="10" t="s">
        <v>237</v>
      </c>
    </row>
    <row r="26" spans="1:15" x14ac:dyDescent="0.3">
      <c r="A26" s="10" t="s">
        <v>238</v>
      </c>
      <c r="B26" s="10" t="s">
        <v>239</v>
      </c>
      <c r="C26" s="10" t="s">
        <v>104</v>
      </c>
      <c r="D26" s="10" t="s">
        <v>105</v>
      </c>
      <c r="E26">
        <v>13878</v>
      </c>
      <c r="F26">
        <v>1973</v>
      </c>
      <c r="G26">
        <v>307000</v>
      </c>
      <c r="H26">
        <v>71.099999999999994</v>
      </c>
      <c r="I26">
        <v>3527</v>
      </c>
      <c r="J26">
        <v>3347</v>
      </c>
      <c r="K26" s="10" t="s">
        <v>240</v>
      </c>
      <c r="L26" s="10" t="s">
        <v>184</v>
      </c>
      <c r="M26" s="10" t="s">
        <v>127</v>
      </c>
      <c r="N26">
        <v>148</v>
      </c>
      <c r="O26" s="10" t="s">
        <v>241</v>
      </c>
    </row>
    <row r="27" spans="1:15" x14ac:dyDescent="0.3">
      <c r="A27" s="10" t="s">
        <v>242</v>
      </c>
      <c r="B27" s="10" t="s">
        <v>243</v>
      </c>
      <c r="C27" s="10" t="s">
        <v>131</v>
      </c>
      <c r="D27" s="10" t="s">
        <v>132</v>
      </c>
      <c r="E27">
        <v>51197</v>
      </c>
      <c r="F27">
        <v>1992</v>
      </c>
      <c r="G27">
        <v>3972000</v>
      </c>
      <c r="H27">
        <v>71.5</v>
      </c>
      <c r="I27">
        <v>2841</v>
      </c>
      <c r="K27" s="10" t="s">
        <v>244</v>
      </c>
      <c r="L27" s="10" t="s">
        <v>155</v>
      </c>
      <c r="M27" s="10" t="s">
        <v>245</v>
      </c>
      <c r="N27">
        <v>201</v>
      </c>
      <c r="O27" s="10" t="s">
        <v>246</v>
      </c>
    </row>
    <row r="28" spans="1:15" x14ac:dyDescent="0.3">
      <c r="A28" s="10" t="s">
        <v>247</v>
      </c>
      <c r="B28" s="10" t="s">
        <v>248</v>
      </c>
      <c r="C28" s="10" t="s">
        <v>131</v>
      </c>
      <c r="D28" s="10" t="s">
        <v>228</v>
      </c>
      <c r="E28">
        <v>207600</v>
      </c>
      <c r="F28">
        <v>1991</v>
      </c>
      <c r="G28">
        <v>10236000</v>
      </c>
      <c r="H28">
        <v>68</v>
      </c>
      <c r="I28">
        <v>13714</v>
      </c>
      <c r="K28" s="10" t="s">
        <v>248</v>
      </c>
      <c r="L28" s="10" t="s">
        <v>121</v>
      </c>
      <c r="M28" s="10" t="s">
        <v>249</v>
      </c>
      <c r="N28">
        <v>3520</v>
      </c>
      <c r="O28" s="10" t="s">
        <v>250</v>
      </c>
    </row>
    <row r="29" spans="1:15" x14ac:dyDescent="0.3">
      <c r="A29" s="10" t="s">
        <v>251</v>
      </c>
      <c r="B29" s="10" t="s">
        <v>252</v>
      </c>
      <c r="C29" s="10" t="s">
        <v>104</v>
      </c>
      <c r="D29" s="10" t="s">
        <v>253</v>
      </c>
      <c r="E29">
        <v>22696</v>
      </c>
      <c r="F29">
        <v>1981</v>
      </c>
      <c r="G29">
        <v>241000</v>
      </c>
      <c r="H29">
        <v>70.900000000000006</v>
      </c>
      <c r="I29">
        <v>630</v>
      </c>
      <c r="J29">
        <v>616</v>
      </c>
      <c r="K29" s="10" t="s">
        <v>252</v>
      </c>
      <c r="L29" s="10" t="s">
        <v>184</v>
      </c>
      <c r="M29" s="10" t="s">
        <v>127</v>
      </c>
      <c r="N29">
        <v>185</v>
      </c>
      <c r="O29" s="10" t="s">
        <v>254</v>
      </c>
    </row>
    <row r="30" spans="1:15" x14ac:dyDescent="0.3">
      <c r="A30" s="10" t="s">
        <v>255</v>
      </c>
      <c r="B30" s="10" t="s">
        <v>256</v>
      </c>
      <c r="C30" s="10" t="s">
        <v>104</v>
      </c>
      <c r="D30" s="10" t="s">
        <v>104</v>
      </c>
      <c r="E30">
        <v>53</v>
      </c>
      <c r="G30">
        <v>65000</v>
      </c>
      <c r="H30">
        <v>76.900000000000006</v>
      </c>
      <c r="I30">
        <v>2328</v>
      </c>
      <c r="J30">
        <v>2190</v>
      </c>
      <c r="K30" s="10" t="s">
        <v>256</v>
      </c>
      <c r="L30" s="10" t="s">
        <v>126</v>
      </c>
      <c r="M30" s="10" t="s">
        <v>127</v>
      </c>
      <c r="N30">
        <v>191</v>
      </c>
      <c r="O30" s="10" t="s">
        <v>257</v>
      </c>
    </row>
    <row r="31" spans="1:15" x14ac:dyDescent="0.3">
      <c r="A31" s="10" t="s">
        <v>258</v>
      </c>
      <c r="B31" s="10" t="s">
        <v>259</v>
      </c>
      <c r="C31" s="10" t="s">
        <v>154</v>
      </c>
      <c r="D31" s="10" t="s">
        <v>154</v>
      </c>
      <c r="E31">
        <v>1098581</v>
      </c>
      <c r="F31">
        <v>1825</v>
      </c>
      <c r="G31">
        <v>8329000</v>
      </c>
      <c r="H31">
        <v>63.7</v>
      </c>
      <c r="I31">
        <v>8571</v>
      </c>
      <c r="J31">
        <v>7967</v>
      </c>
      <c r="K31" s="10" t="s">
        <v>259</v>
      </c>
      <c r="L31" s="10" t="s">
        <v>121</v>
      </c>
      <c r="M31" s="10" t="s">
        <v>260</v>
      </c>
      <c r="N31">
        <v>194</v>
      </c>
      <c r="O31" s="10" t="s">
        <v>261</v>
      </c>
    </row>
    <row r="32" spans="1:15" x14ac:dyDescent="0.3">
      <c r="A32" s="10" t="s">
        <v>262</v>
      </c>
      <c r="B32" s="10" t="s">
        <v>263</v>
      </c>
      <c r="C32" s="10" t="s">
        <v>154</v>
      </c>
      <c r="D32" s="10" t="s">
        <v>154</v>
      </c>
      <c r="E32">
        <v>8547403</v>
      </c>
      <c r="F32">
        <v>1822</v>
      </c>
      <c r="G32">
        <v>170115000</v>
      </c>
      <c r="H32">
        <v>62.9</v>
      </c>
      <c r="I32">
        <v>776739</v>
      </c>
      <c r="J32">
        <v>804108</v>
      </c>
      <c r="K32" s="10" t="s">
        <v>264</v>
      </c>
      <c r="L32" s="10" t="s">
        <v>155</v>
      </c>
      <c r="M32" s="10" t="s">
        <v>265</v>
      </c>
      <c r="N32">
        <v>211</v>
      </c>
      <c r="O32" s="10" t="s">
        <v>266</v>
      </c>
    </row>
    <row r="33" spans="1:15" x14ac:dyDescent="0.3">
      <c r="A33" s="10" t="s">
        <v>267</v>
      </c>
      <c r="B33" s="10" t="s">
        <v>268</v>
      </c>
      <c r="C33" s="10" t="s">
        <v>104</v>
      </c>
      <c r="D33" s="10" t="s">
        <v>105</v>
      </c>
      <c r="E33">
        <v>430</v>
      </c>
      <c r="F33">
        <v>1966</v>
      </c>
      <c r="G33">
        <v>270000</v>
      </c>
      <c r="H33">
        <v>73</v>
      </c>
      <c r="I33">
        <v>2223</v>
      </c>
      <c r="J33">
        <v>2186</v>
      </c>
      <c r="K33" s="10" t="s">
        <v>268</v>
      </c>
      <c r="L33" s="10" t="s">
        <v>184</v>
      </c>
      <c r="M33" s="10" t="s">
        <v>127</v>
      </c>
      <c r="N33">
        <v>174</v>
      </c>
      <c r="O33" s="10" t="s">
        <v>269</v>
      </c>
    </row>
    <row r="34" spans="1:15" x14ac:dyDescent="0.3">
      <c r="A34" s="10" t="s">
        <v>270</v>
      </c>
      <c r="B34" s="10" t="s">
        <v>271</v>
      </c>
      <c r="C34" s="10" t="s">
        <v>111</v>
      </c>
      <c r="D34" s="10" t="s">
        <v>272</v>
      </c>
      <c r="E34">
        <v>5765</v>
      </c>
      <c r="F34">
        <v>1984</v>
      </c>
      <c r="G34">
        <v>331280</v>
      </c>
      <c r="H34">
        <v>73.599999999999994</v>
      </c>
      <c r="I34">
        <v>11705</v>
      </c>
      <c r="J34">
        <v>12460</v>
      </c>
      <c r="K34" s="10" t="s">
        <v>273</v>
      </c>
      <c r="L34" s="10" t="s">
        <v>274</v>
      </c>
      <c r="M34" s="10" t="s">
        <v>275</v>
      </c>
      <c r="N34">
        <v>538</v>
      </c>
      <c r="O34" s="10" t="s">
        <v>276</v>
      </c>
    </row>
    <row r="35" spans="1:15" x14ac:dyDescent="0.3">
      <c r="A35" s="10" t="s">
        <v>277</v>
      </c>
      <c r="B35" s="10" t="s">
        <v>278</v>
      </c>
      <c r="C35" s="10" t="s">
        <v>111</v>
      </c>
      <c r="D35" s="10" t="s">
        <v>112</v>
      </c>
      <c r="E35">
        <v>47000</v>
      </c>
      <c r="F35">
        <v>1910</v>
      </c>
      <c r="G35">
        <v>2124000</v>
      </c>
      <c r="H35">
        <v>52.4</v>
      </c>
      <c r="I35">
        <v>372</v>
      </c>
      <c r="J35">
        <v>383</v>
      </c>
      <c r="K35" s="10" t="s">
        <v>279</v>
      </c>
      <c r="L35" s="10" t="s">
        <v>280</v>
      </c>
      <c r="M35" s="10" t="s">
        <v>281</v>
      </c>
      <c r="N35">
        <v>192</v>
      </c>
      <c r="O35" s="10" t="s">
        <v>282</v>
      </c>
    </row>
    <row r="36" spans="1:15" x14ac:dyDescent="0.3">
      <c r="A36" s="10" t="s">
        <v>283</v>
      </c>
      <c r="B36" s="10" t="s">
        <v>284</v>
      </c>
      <c r="C36" s="10" t="s">
        <v>172</v>
      </c>
      <c r="D36" s="10" t="s">
        <v>172</v>
      </c>
      <c r="E36">
        <v>59</v>
      </c>
      <c r="G36">
        <v>0</v>
      </c>
      <c r="I36">
        <v>0</v>
      </c>
      <c r="K36" s="10" t="s">
        <v>285</v>
      </c>
      <c r="L36" s="10" t="s">
        <v>286</v>
      </c>
      <c r="M36" s="10" t="s">
        <v>287</v>
      </c>
      <c r="O36" s="10" t="s">
        <v>288</v>
      </c>
    </row>
    <row r="37" spans="1:15" x14ac:dyDescent="0.3">
      <c r="A37" s="10" t="s">
        <v>289</v>
      </c>
      <c r="B37" s="10" t="s">
        <v>290</v>
      </c>
      <c r="C37" s="10" t="s">
        <v>119</v>
      </c>
      <c r="D37" s="10" t="s">
        <v>291</v>
      </c>
      <c r="E37">
        <v>581730</v>
      </c>
      <c r="F37">
        <v>1966</v>
      </c>
      <c r="G37">
        <v>1622000</v>
      </c>
      <c r="H37">
        <v>39.299999999999997</v>
      </c>
      <c r="I37">
        <v>4834</v>
      </c>
      <c r="J37">
        <v>4935</v>
      </c>
      <c r="K37" s="10" t="s">
        <v>290</v>
      </c>
      <c r="L37" s="10" t="s">
        <v>121</v>
      </c>
      <c r="M37" s="10" t="s">
        <v>292</v>
      </c>
      <c r="N37">
        <v>204</v>
      </c>
      <c r="O37" s="10" t="s">
        <v>293</v>
      </c>
    </row>
    <row r="38" spans="1:15" x14ac:dyDescent="0.3">
      <c r="A38" s="10" t="s">
        <v>294</v>
      </c>
      <c r="B38" s="10" t="s">
        <v>295</v>
      </c>
      <c r="C38" s="10" t="s">
        <v>119</v>
      </c>
      <c r="D38" s="10" t="s">
        <v>120</v>
      </c>
      <c r="E38">
        <v>622984</v>
      </c>
      <c r="F38">
        <v>1960</v>
      </c>
      <c r="G38">
        <v>3615000</v>
      </c>
      <c r="H38">
        <v>44</v>
      </c>
      <c r="I38">
        <v>1054</v>
      </c>
      <c r="J38">
        <v>993</v>
      </c>
      <c r="K38" s="10" t="s">
        <v>296</v>
      </c>
      <c r="L38" s="10" t="s">
        <v>121</v>
      </c>
      <c r="M38" s="10" t="s">
        <v>297</v>
      </c>
      <c r="N38">
        <v>1889</v>
      </c>
      <c r="O38" s="10" t="s">
        <v>298</v>
      </c>
    </row>
    <row r="39" spans="1:15" x14ac:dyDescent="0.3">
      <c r="A39" s="10" t="s">
        <v>299</v>
      </c>
      <c r="B39" s="10" t="s">
        <v>23</v>
      </c>
      <c r="C39" s="10" t="s">
        <v>104</v>
      </c>
      <c r="D39" s="10" t="s">
        <v>104</v>
      </c>
      <c r="E39">
        <v>9970610</v>
      </c>
      <c r="F39">
        <v>1867</v>
      </c>
      <c r="G39">
        <v>31147000</v>
      </c>
      <c r="H39">
        <v>79.400000000000006</v>
      </c>
      <c r="I39">
        <v>598862</v>
      </c>
      <c r="J39">
        <v>625626</v>
      </c>
      <c r="K39" s="10" t="s">
        <v>23</v>
      </c>
      <c r="L39" s="10" t="s">
        <v>188</v>
      </c>
      <c r="M39" s="10" t="s">
        <v>127</v>
      </c>
      <c r="N39">
        <v>1822</v>
      </c>
      <c r="O39" s="10" t="s">
        <v>300</v>
      </c>
    </row>
    <row r="40" spans="1:15" x14ac:dyDescent="0.3">
      <c r="A40" s="10" t="s">
        <v>301</v>
      </c>
      <c r="B40" s="10" t="s">
        <v>302</v>
      </c>
      <c r="C40" s="10" t="s">
        <v>165</v>
      </c>
      <c r="D40" s="10" t="s">
        <v>187</v>
      </c>
      <c r="E40">
        <v>14</v>
      </c>
      <c r="G40">
        <v>600</v>
      </c>
      <c r="I40">
        <v>0</v>
      </c>
      <c r="K40" s="10" t="s">
        <v>302</v>
      </c>
      <c r="L40" s="10" t="s">
        <v>303</v>
      </c>
      <c r="M40" s="10" t="s">
        <v>127</v>
      </c>
      <c r="N40">
        <v>2317</v>
      </c>
      <c r="O40" s="10" t="s">
        <v>304</v>
      </c>
    </row>
    <row r="41" spans="1:15" x14ac:dyDescent="0.3">
      <c r="A41" s="10" t="s">
        <v>305</v>
      </c>
      <c r="B41" s="10" t="s">
        <v>306</v>
      </c>
      <c r="C41" s="10" t="s">
        <v>131</v>
      </c>
      <c r="D41" s="10" t="s">
        <v>192</v>
      </c>
      <c r="E41">
        <v>41284</v>
      </c>
      <c r="F41">
        <v>1499</v>
      </c>
      <c r="G41">
        <v>7160400</v>
      </c>
      <c r="H41">
        <v>79.599999999999994</v>
      </c>
      <c r="I41">
        <v>264478</v>
      </c>
      <c r="J41">
        <v>256092</v>
      </c>
      <c r="K41" s="10" t="s">
        <v>307</v>
      </c>
      <c r="L41" s="10" t="s">
        <v>308</v>
      </c>
      <c r="M41" s="10" t="s">
        <v>309</v>
      </c>
      <c r="N41">
        <v>3248</v>
      </c>
      <c r="O41" s="10" t="s">
        <v>310</v>
      </c>
    </row>
    <row r="42" spans="1:15" x14ac:dyDescent="0.3">
      <c r="A42" s="10" t="s">
        <v>311</v>
      </c>
      <c r="B42" s="10" t="s">
        <v>312</v>
      </c>
      <c r="C42" s="10" t="s">
        <v>154</v>
      </c>
      <c r="D42" s="10" t="s">
        <v>154</v>
      </c>
      <c r="E42">
        <v>756626</v>
      </c>
      <c r="F42">
        <v>1810</v>
      </c>
      <c r="G42">
        <v>15211000</v>
      </c>
      <c r="H42">
        <v>75.7</v>
      </c>
      <c r="I42">
        <v>72949</v>
      </c>
      <c r="J42">
        <v>75780</v>
      </c>
      <c r="K42" s="10" t="s">
        <v>312</v>
      </c>
      <c r="L42" s="10" t="s">
        <v>121</v>
      </c>
      <c r="M42" s="10" t="s">
        <v>313</v>
      </c>
      <c r="N42">
        <v>554</v>
      </c>
      <c r="O42" s="10" t="s">
        <v>314</v>
      </c>
    </row>
    <row r="43" spans="1:15" x14ac:dyDescent="0.3">
      <c r="A43" s="10" t="s">
        <v>315</v>
      </c>
      <c r="B43" s="10" t="s">
        <v>316</v>
      </c>
      <c r="C43" s="10" t="s">
        <v>111</v>
      </c>
      <c r="D43" s="10" t="s">
        <v>317</v>
      </c>
      <c r="E43">
        <v>9572900</v>
      </c>
      <c r="F43">
        <v>-1523</v>
      </c>
      <c r="G43">
        <v>1277558000</v>
      </c>
      <c r="H43">
        <v>71.400000000000006</v>
      </c>
      <c r="I43">
        <v>982268</v>
      </c>
      <c r="J43">
        <v>917719</v>
      </c>
      <c r="K43" s="10" t="s">
        <v>318</v>
      </c>
      <c r="L43" s="10" t="s">
        <v>319</v>
      </c>
      <c r="M43" s="10" t="s">
        <v>320</v>
      </c>
      <c r="N43">
        <v>1891</v>
      </c>
      <c r="O43" s="10" t="s">
        <v>321</v>
      </c>
    </row>
    <row r="44" spans="1:15" x14ac:dyDescent="0.3">
      <c r="A44" s="10" t="s">
        <v>322</v>
      </c>
      <c r="B44" s="10" t="s">
        <v>323</v>
      </c>
      <c r="C44" s="10" t="s">
        <v>119</v>
      </c>
      <c r="D44" s="10" t="s">
        <v>214</v>
      </c>
      <c r="E44">
        <v>322463</v>
      </c>
      <c r="F44">
        <v>1960</v>
      </c>
      <c r="G44">
        <v>14786000</v>
      </c>
      <c r="H44">
        <v>45.2</v>
      </c>
      <c r="I44">
        <v>11345</v>
      </c>
      <c r="J44">
        <v>10285</v>
      </c>
      <c r="K44" s="10" t="s">
        <v>323</v>
      </c>
      <c r="L44" s="10" t="s">
        <v>121</v>
      </c>
      <c r="M44" s="10" t="s">
        <v>324</v>
      </c>
      <c r="N44">
        <v>2814</v>
      </c>
      <c r="O44" s="10" t="s">
        <v>325</v>
      </c>
    </row>
    <row r="45" spans="1:15" x14ac:dyDescent="0.3">
      <c r="A45" s="10" t="s">
        <v>326</v>
      </c>
      <c r="B45" s="10" t="s">
        <v>327</v>
      </c>
      <c r="C45" s="10" t="s">
        <v>119</v>
      </c>
      <c r="D45" s="10" t="s">
        <v>120</v>
      </c>
      <c r="E45">
        <v>475442</v>
      </c>
      <c r="F45">
        <v>1960</v>
      </c>
      <c r="G45">
        <v>15085000</v>
      </c>
      <c r="H45">
        <v>54.8</v>
      </c>
      <c r="I45">
        <v>9174</v>
      </c>
      <c r="J45">
        <v>8596</v>
      </c>
      <c r="K45" s="10" t="s">
        <v>328</v>
      </c>
      <c r="L45" s="10" t="s">
        <v>121</v>
      </c>
      <c r="M45" s="10" t="s">
        <v>329</v>
      </c>
      <c r="N45">
        <v>1804</v>
      </c>
      <c r="O45" s="10" t="s">
        <v>330</v>
      </c>
    </row>
    <row r="46" spans="1:15" x14ac:dyDescent="0.3">
      <c r="A46" s="10" t="s">
        <v>331</v>
      </c>
      <c r="B46" s="10" t="s">
        <v>332</v>
      </c>
      <c r="C46" s="10" t="s">
        <v>119</v>
      </c>
      <c r="D46" s="10" t="s">
        <v>120</v>
      </c>
      <c r="E46">
        <v>2344858</v>
      </c>
      <c r="F46">
        <v>1960</v>
      </c>
      <c r="G46">
        <v>51654000</v>
      </c>
      <c r="H46">
        <v>48.8</v>
      </c>
      <c r="I46">
        <v>6964</v>
      </c>
      <c r="J46">
        <v>2474</v>
      </c>
      <c r="K46" s="10" t="s">
        <v>333</v>
      </c>
      <c r="L46" s="10" t="s">
        <v>121</v>
      </c>
      <c r="M46" s="10" t="s">
        <v>334</v>
      </c>
      <c r="N46">
        <v>2298</v>
      </c>
      <c r="O46" s="10" t="s">
        <v>335</v>
      </c>
    </row>
    <row r="47" spans="1:15" x14ac:dyDescent="0.3">
      <c r="A47" s="10" t="s">
        <v>336</v>
      </c>
      <c r="B47" s="10" t="s">
        <v>337</v>
      </c>
      <c r="C47" s="10" t="s">
        <v>119</v>
      </c>
      <c r="D47" s="10" t="s">
        <v>120</v>
      </c>
      <c r="E47">
        <v>342000</v>
      </c>
      <c r="F47">
        <v>1960</v>
      </c>
      <c r="G47">
        <v>2943000</v>
      </c>
      <c r="H47">
        <v>47.4</v>
      </c>
      <c r="I47">
        <v>2108</v>
      </c>
      <c r="J47">
        <v>2287</v>
      </c>
      <c r="K47" s="10" t="s">
        <v>337</v>
      </c>
      <c r="L47" s="10" t="s">
        <v>121</v>
      </c>
      <c r="M47" s="10" t="s">
        <v>338</v>
      </c>
      <c r="N47">
        <v>2296</v>
      </c>
      <c r="O47" s="10" t="s">
        <v>339</v>
      </c>
    </row>
    <row r="48" spans="1:15" x14ac:dyDescent="0.3">
      <c r="A48" s="10" t="s">
        <v>340</v>
      </c>
      <c r="B48" s="10" t="s">
        <v>341</v>
      </c>
      <c r="C48" s="10" t="s">
        <v>165</v>
      </c>
      <c r="D48" s="10" t="s">
        <v>166</v>
      </c>
      <c r="E48">
        <v>236</v>
      </c>
      <c r="G48">
        <v>20000</v>
      </c>
      <c r="H48">
        <v>71.099999999999994</v>
      </c>
      <c r="I48">
        <v>100</v>
      </c>
      <c r="K48" s="10" t="s">
        <v>342</v>
      </c>
      <c r="L48" s="10" t="s">
        <v>343</v>
      </c>
      <c r="M48" s="10" t="s">
        <v>127</v>
      </c>
      <c r="N48">
        <v>583</v>
      </c>
      <c r="O48" s="10" t="s">
        <v>344</v>
      </c>
    </row>
    <row r="49" spans="1:15" x14ac:dyDescent="0.3">
      <c r="A49" s="10" t="s">
        <v>345</v>
      </c>
      <c r="B49" s="10" t="s">
        <v>346</v>
      </c>
      <c r="C49" s="10" t="s">
        <v>154</v>
      </c>
      <c r="D49" s="10" t="s">
        <v>154</v>
      </c>
      <c r="E49">
        <v>1138914</v>
      </c>
      <c r="F49">
        <v>1810</v>
      </c>
      <c r="G49">
        <v>42321000</v>
      </c>
      <c r="H49">
        <v>70.3</v>
      </c>
      <c r="I49">
        <v>102896</v>
      </c>
      <c r="J49">
        <v>105116</v>
      </c>
      <c r="K49" s="10" t="s">
        <v>346</v>
      </c>
      <c r="L49" s="10" t="s">
        <v>121</v>
      </c>
      <c r="M49" s="10" t="s">
        <v>347</v>
      </c>
      <c r="N49">
        <v>2257</v>
      </c>
      <c r="O49" s="10" t="s">
        <v>348</v>
      </c>
    </row>
    <row r="50" spans="1:15" x14ac:dyDescent="0.3">
      <c r="A50" s="10" t="s">
        <v>349</v>
      </c>
      <c r="B50" s="10" t="s">
        <v>350</v>
      </c>
      <c r="C50" s="10" t="s">
        <v>119</v>
      </c>
      <c r="D50" s="10" t="s">
        <v>203</v>
      </c>
      <c r="E50">
        <v>1862</v>
      </c>
      <c r="F50">
        <v>1975</v>
      </c>
      <c r="G50">
        <v>578000</v>
      </c>
      <c r="H50">
        <v>60</v>
      </c>
      <c r="I50">
        <v>4401</v>
      </c>
      <c r="J50">
        <v>4361</v>
      </c>
      <c r="K50" s="10" t="s">
        <v>351</v>
      </c>
      <c r="L50" s="10" t="s">
        <v>121</v>
      </c>
      <c r="M50" s="10" t="s">
        <v>352</v>
      </c>
      <c r="N50">
        <v>2295</v>
      </c>
      <c r="O50" s="10" t="s">
        <v>353</v>
      </c>
    </row>
    <row r="51" spans="1:15" x14ac:dyDescent="0.3">
      <c r="A51" s="10" t="s">
        <v>354</v>
      </c>
      <c r="B51" s="10" t="s">
        <v>355</v>
      </c>
      <c r="C51" s="10" t="s">
        <v>119</v>
      </c>
      <c r="D51" s="10" t="s">
        <v>214</v>
      </c>
      <c r="E51">
        <v>4033</v>
      </c>
      <c r="F51">
        <v>1975</v>
      </c>
      <c r="G51">
        <v>428000</v>
      </c>
      <c r="H51">
        <v>68.900000000000006</v>
      </c>
      <c r="I51">
        <v>435</v>
      </c>
      <c r="J51">
        <v>420</v>
      </c>
      <c r="K51" s="10" t="s">
        <v>356</v>
      </c>
      <c r="L51" s="10" t="s">
        <v>121</v>
      </c>
      <c r="M51" s="10" t="s">
        <v>357</v>
      </c>
      <c r="N51">
        <v>1859</v>
      </c>
      <c r="O51" s="10" t="s">
        <v>358</v>
      </c>
    </row>
    <row r="52" spans="1:15" x14ac:dyDescent="0.3">
      <c r="A52" s="10" t="s">
        <v>359</v>
      </c>
      <c r="B52" s="10" t="s">
        <v>360</v>
      </c>
      <c r="C52" s="10" t="s">
        <v>104</v>
      </c>
      <c r="D52" s="10" t="s">
        <v>253</v>
      </c>
      <c r="E52">
        <v>51100</v>
      </c>
      <c r="F52">
        <v>1821</v>
      </c>
      <c r="G52">
        <v>4023000</v>
      </c>
      <c r="H52">
        <v>75.8</v>
      </c>
      <c r="I52">
        <v>10226</v>
      </c>
      <c r="J52">
        <v>9757</v>
      </c>
      <c r="K52" s="10" t="s">
        <v>360</v>
      </c>
      <c r="L52" s="10" t="s">
        <v>121</v>
      </c>
      <c r="M52" s="10" t="s">
        <v>361</v>
      </c>
      <c r="N52">
        <v>584</v>
      </c>
      <c r="O52" s="10" t="s">
        <v>362</v>
      </c>
    </row>
    <row r="53" spans="1:15" x14ac:dyDescent="0.3">
      <c r="A53" s="10" t="s">
        <v>363</v>
      </c>
      <c r="B53" s="10" t="s">
        <v>364</v>
      </c>
      <c r="C53" s="10" t="s">
        <v>104</v>
      </c>
      <c r="D53" s="10" t="s">
        <v>105</v>
      </c>
      <c r="E53">
        <v>110861</v>
      </c>
      <c r="F53">
        <v>1902</v>
      </c>
      <c r="G53">
        <v>11201000</v>
      </c>
      <c r="H53">
        <v>76.2</v>
      </c>
      <c r="I53">
        <v>17843</v>
      </c>
      <c r="J53">
        <v>18862</v>
      </c>
      <c r="K53" s="10" t="s">
        <v>364</v>
      </c>
      <c r="L53" s="10" t="s">
        <v>365</v>
      </c>
      <c r="M53" s="10" t="s">
        <v>366</v>
      </c>
      <c r="N53">
        <v>2413</v>
      </c>
      <c r="O53" s="10" t="s">
        <v>367</v>
      </c>
    </row>
    <row r="54" spans="1:15" x14ac:dyDescent="0.3">
      <c r="A54" s="10" t="s">
        <v>368</v>
      </c>
      <c r="B54" s="10" t="s">
        <v>369</v>
      </c>
      <c r="C54" s="10" t="s">
        <v>165</v>
      </c>
      <c r="D54" s="10" t="s">
        <v>187</v>
      </c>
      <c r="E54">
        <v>135</v>
      </c>
      <c r="G54">
        <v>2500</v>
      </c>
      <c r="I54">
        <v>0</v>
      </c>
      <c r="K54" s="10" t="s">
        <v>369</v>
      </c>
      <c r="L54" s="10" t="s">
        <v>303</v>
      </c>
      <c r="M54" s="10" t="s">
        <v>127</v>
      </c>
      <c r="N54">
        <v>1791</v>
      </c>
      <c r="O54" s="10" t="s">
        <v>370</v>
      </c>
    </row>
    <row r="55" spans="1:15" x14ac:dyDescent="0.3">
      <c r="A55" s="10" t="s">
        <v>371</v>
      </c>
      <c r="B55" s="10" t="s">
        <v>372</v>
      </c>
      <c r="C55" s="10" t="s">
        <v>104</v>
      </c>
      <c r="D55" s="10" t="s">
        <v>105</v>
      </c>
      <c r="E55">
        <v>264</v>
      </c>
      <c r="G55">
        <v>38000</v>
      </c>
      <c r="H55">
        <v>78.900000000000006</v>
      </c>
      <c r="I55">
        <v>1263</v>
      </c>
      <c r="J55">
        <v>1186</v>
      </c>
      <c r="K55" s="10" t="s">
        <v>372</v>
      </c>
      <c r="L55" s="10" t="s">
        <v>126</v>
      </c>
      <c r="M55" s="10" t="s">
        <v>127</v>
      </c>
      <c r="N55">
        <v>553</v>
      </c>
      <c r="O55" s="10" t="s">
        <v>373</v>
      </c>
    </row>
    <row r="56" spans="1:15" x14ac:dyDescent="0.3">
      <c r="A56" s="10" t="s">
        <v>374</v>
      </c>
      <c r="B56" s="10" t="s">
        <v>375</v>
      </c>
      <c r="C56" s="10" t="s">
        <v>111</v>
      </c>
      <c r="D56" s="10" t="s">
        <v>147</v>
      </c>
      <c r="E56">
        <v>9251</v>
      </c>
      <c r="F56">
        <v>1960</v>
      </c>
      <c r="G56">
        <v>762247</v>
      </c>
      <c r="H56">
        <v>76.7</v>
      </c>
      <c r="I56">
        <v>9333</v>
      </c>
      <c r="J56">
        <v>8246</v>
      </c>
      <c r="K56" s="10" t="s">
        <v>376</v>
      </c>
      <c r="L56" s="10" t="s">
        <v>121</v>
      </c>
      <c r="M56" s="10" t="s">
        <v>377</v>
      </c>
      <c r="N56">
        <v>2430</v>
      </c>
      <c r="O56" s="10" t="s">
        <v>378</v>
      </c>
    </row>
    <row r="57" spans="1:15" x14ac:dyDescent="0.3">
      <c r="A57" s="10" t="s">
        <v>379</v>
      </c>
      <c r="B57" s="10" t="s">
        <v>380</v>
      </c>
      <c r="C57" s="10" t="s">
        <v>131</v>
      </c>
      <c r="D57" s="10" t="s">
        <v>228</v>
      </c>
      <c r="E57">
        <v>78866</v>
      </c>
      <c r="F57">
        <v>1993</v>
      </c>
      <c r="G57">
        <v>10278100</v>
      </c>
      <c r="H57">
        <v>74.5</v>
      </c>
      <c r="I57">
        <v>55017</v>
      </c>
      <c r="J57">
        <v>52037</v>
      </c>
      <c r="K57" s="10" t="s">
        <v>381</v>
      </c>
      <c r="L57" s="10" t="s">
        <v>121</v>
      </c>
      <c r="M57" s="10" t="s">
        <v>382</v>
      </c>
      <c r="N57">
        <v>3339</v>
      </c>
      <c r="O57" s="10" t="s">
        <v>383</v>
      </c>
    </row>
    <row r="58" spans="1:15" x14ac:dyDescent="0.3">
      <c r="A58" s="10" t="s">
        <v>384</v>
      </c>
      <c r="B58" s="10" t="s">
        <v>43</v>
      </c>
      <c r="C58" s="10" t="s">
        <v>131</v>
      </c>
      <c r="D58" s="10" t="s">
        <v>192</v>
      </c>
      <c r="E58">
        <v>357022</v>
      </c>
      <c r="F58">
        <v>1955</v>
      </c>
      <c r="G58">
        <v>82164700</v>
      </c>
      <c r="H58">
        <v>77.400000000000006</v>
      </c>
      <c r="I58">
        <v>2133367</v>
      </c>
      <c r="J58">
        <v>2102826</v>
      </c>
      <c r="K58" s="10" t="s">
        <v>385</v>
      </c>
      <c r="L58" s="10" t="s">
        <v>155</v>
      </c>
      <c r="M58" s="10" t="s">
        <v>386</v>
      </c>
      <c r="N58">
        <v>3068</v>
      </c>
      <c r="O58" s="10" t="s">
        <v>387</v>
      </c>
    </row>
    <row r="59" spans="1:15" x14ac:dyDescent="0.3">
      <c r="A59" s="10" t="s">
        <v>388</v>
      </c>
      <c r="B59" s="10" t="s">
        <v>389</v>
      </c>
      <c r="C59" s="10" t="s">
        <v>119</v>
      </c>
      <c r="D59" s="10" t="s">
        <v>203</v>
      </c>
      <c r="E59">
        <v>23200</v>
      </c>
      <c r="F59">
        <v>1977</v>
      </c>
      <c r="G59">
        <v>638000</v>
      </c>
      <c r="H59">
        <v>50.8</v>
      </c>
      <c r="I59">
        <v>382</v>
      </c>
      <c r="J59">
        <v>373</v>
      </c>
      <c r="K59" s="10" t="s">
        <v>390</v>
      </c>
      <c r="L59" s="10" t="s">
        <v>121</v>
      </c>
      <c r="M59" s="10" t="s">
        <v>391</v>
      </c>
      <c r="N59">
        <v>585</v>
      </c>
      <c r="O59" s="10" t="s">
        <v>392</v>
      </c>
    </row>
    <row r="60" spans="1:15" x14ac:dyDescent="0.3">
      <c r="A60" s="10" t="s">
        <v>393</v>
      </c>
      <c r="B60" s="10" t="s">
        <v>394</v>
      </c>
      <c r="C60" s="10" t="s">
        <v>104</v>
      </c>
      <c r="D60" s="10" t="s">
        <v>105</v>
      </c>
      <c r="E60">
        <v>751</v>
      </c>
      <c r="F60">
        <v>1978</v>
      </c>
      <c r="G60">
        <v>71000</v>
      </c>
      <c r="H60">
        <v>73.400000000000006</v>
      </c>
      <c r="I60">
        <v>256</v>
      </c>
      <c r="J60">
        <v>243</v>
      </c>
      <c r="K60" s="10" t="s">
        <v>394</v>
      </c>
      <c r="L60" s="10" t="s">
        <v>121</v>
      </c>
      <c r="M60" s="10" t="s">
        <v>395</v>
      </c>
      <c r="N60">
        <v>586</v>
      </c>
      <c r="O60" s="10" t="s">
        <v>396</v>
      </c>
    </row>
    <row r="61" spans="1:15" x14ac:dyDescent="0.3">
      <c r="A61" s="10" t="s">
        <v>397</v>
      </c>
      <c r="B61" s="10" t="s">
        <v>398</v>
      </c>
      <c r="C61" s="10" t="s">
        <v>131</v>
      </c>
      <c r="D61" s="10" t="s">
        <v>399</v>
      </c>
      <c r="E61">
        <v>43094</v>
      </c>
      <c r="F61">
        <v>800</v>
      </c>
      <c r="G61">
        <v>5330000</v>
      </c>
      <c r="H61">
        <v>76.5</v>
      </c>
      <c r="I61">
        <v>174099</v>
      </c>
      <c r="J61">
        <v>169264</v>
      </c>
      <c r="K61" s="10" t="s">
        <v>400</v>
      </c>
      <c r="L61" s="10" t="s">
        <v>184</v>
      </c>
      <c r="M61" s="10" t="s">
        <v>401</v>
      </c>
      <c r="N61">
        <v>3315</v>
      </c>
      <c r="O61" s="10" t="s">
        <v>402</v>
      </c>
    </row>
    <row r="62" spans="1:15" x14ac:dyDescent="0.3">
      <c r="A62" s="10" t="s">
        <v>403</v>
      </c>
      <c r="B62" s="10" t="s">
        <v>404</v>
      </c>
      <c r="C62" s="10" t="s">
        <v>104</v>
      </c>
      <c r="D62" s="10" t="s">
        <v>105</v>
      </c>
      <c r="E62">
        <v>48511</v>
      </c>
      <c r="F62">
        <v>1844</v>
      </c>
      <c r="G62">
        <v>8495000</v>
      </c>
      <c r="H62">
        <v>73.2</v>
      </c>
      <c r="I62">
        <v>15846</v>
      </c>
      <c r="J62">
        <v>15076</v>
      </c>
      <c r="K62" s="10" t="s">
        <v>405</v>
      </c>
      <c r="L62" s="10" t="s">
        <v>121</v>
      </c>
      <c r="M62" s="10" t="s">
        <v>406</v>
      </c>
      <c r="N62">
        <v>587</v>
      </c>
      <c r="O62" s="10" t="s">
        <v>407</v>
      </c>
    </row>
    <row r="63" spans="1:15" x14ac:dyDescent="0.3">
      <c r="A63" s="10" t="s">
        <v>408</v>
      </c>
      <c r="B63" s="10" t="s">
        <v>409</v>
      </c>
      <c r="C63" s="10" t="s">
        <v>119</v>
      </c>
      <c r="D63" s="10" t="s">
        <v>410</v>
      </c>
      <c r="E63">
        <v>2381741</v>
      </c>
      <c r="F63">
        <v>1962</v>
      </c>
      <c r="G63">
        <v>31471000</v>
      </c>
      <c r="H63">
        <v>69.7</v>
      </c>
      <c r="I63">
        <v>49982</v>
      </c>
      <c r="J63">
        <v>46966</v>
      </c>
      <c r="K63" s="10" t="s">
        <v>411</v>
      </c>
      <c r="L63" s="10" t="s">
        <v>121</v>
      </c>
      <c r="M63" s="10" t="s">
        <v>412</v>
      </c>
      <c r="N63">
        <v>35</v>
      </c>
      <c r="O63" s="10" t="s">
        <v>413</v>
      </c>
    </row>
    <row r="64" spans="1:15" x14ac:dyDescent="0.3">
      <c r="A64" s="10" t="s">
        <v>414</v>
      </c>
      <c r="B64" s="10" t="s">
        <v>415</v>
      </c>
      <c r="C64" s="10" t="s">
        <v>154</v>
      </c>
      <c r="D64" s="10" t="s">
        <v>154</v>
      </c>
      <c r="E64">
        <v>283561</v>
      </c>
      <c r="F64">
        <v>1822</v>
      </c>
      <c r="G64">
        <v>12646000</v>
      </c>
      <c r="H64">
        <v>71.099999999999994</v>
      </c>
      <c r="I64">
        <v>19770</v>
      </c>
      <c r="J64">
        <v>19769</v>
      </c>
      <c r="K64" s="10" t="s">
        <v>415</v>
      </c>
      <c r="L64" s="10" t="s">
        <v>121</v>
      </c>
      <c r="M64" s="10" t="s">
        <v>416</v>
      </c>
      <c r="N64">
        <v>594</v>
      </c>
      <c r="O64" s="10" t="s">
        <v>417</v>
      </c>
    </row>
    <row r="65" spans="1:15" x14ac:dyDescent="0.3">
      <c r="A65" s="10" t="s">
        <v>418</v>
      </c>
      <c r="B65" s="10" t="s">
        <v>419</v>
      </c>
      <c r="C65" s="10" t="s">
        <v>119</v>
      </c>
      <c r="D65" s="10" t="s">
        <v>410</v>
      </c>
      <c r="E65">
        <v>1001449</v>
      </c>
      <c r="F65">
        <v>1922</v>
      </c>
      <c r="G65">
        <v>68470000</v>
      </c>
      <c r="H65">
        <v>63.3</v>
      </c>
      <c r="I65">
        <v>82710</v>
      </c>
      <c r="J65">
        <v>75617</v>
      </c>
      <c r="K65" s="10" t="s">
        <v>420</v>
      </c>
      <c r="L65" s="10" t="s">
        <v>121</v>
      </c>
      <c r="M65" s="10" t="s">
        <v>421</v>
      </c>
      <c r="N65">
        <v>608</v>
      </c>
      <c r="O65" s="10" t="s">
        <v>422</v>
      </c>
    </row>
    <row r="66" spans="1:15" x14ac:dyDescent="0.3">
      <c r="A66" s="10" t="s">
        <v>423</v>
      </c>
      <c r="B66" s="10" t="s">
        <v>424</v>
      </c>
      <c r="C66" s="10" t="s">
        <v>119</v>
      </c>
      <c r="D66" s="10" t="s">
        <v>203</v>
      </c>
      <c r="E66">
        <v>117600</v>
      </c>
      <c r="F66">
        <v>1993</v>
      </c>
      <c r="G66">
        <v>3850000</v>
      </c>
      <c r="H66">
        <v>55.8</v>
      </c>
      <c r="I66">
        <v>650</v>
      </c>
      <c r="J66">
        <v>755</v>
      </c>
      <c r="K66" s="10" t="s">
        <v>425</v>
      </c>
      <c r="L66" s="10" t="s">
        <v>121</v>
      </c>
      <c r="M66" s="10" t="s">
        <v>426</v>
      </c>
      <c r="N66">
        <v>652</v>
      </c>
      <c r="O66" s="10" t="s">
        <v>427</v>
      </c>
    </row>
    <row r="67" spans="1:15" x14ac:dyDescent="0.3">
      <c r="A67" s="10" t="s">
        <v>428</v>
      </c>
      <c r="B67" s="10" t="s">
        <v>429</v>
      </c>
      <c r="C67" s="10" t="s">
        <v>119</v>
      </c>
      <c r="D67" s="10" t="s">
        <v>410</v>
      </c>
      <c r="E67">
        <v>266000</v>
      </c>
      <c r="G67">
        <v>293000</v>
      </c>
      <c r="H67">
        <v>49.8</v>
      </c>
      <c r="I67">
        <v>60</v>
      </c>
      <c r="K67" s="10" t="s">
        <v>430</v>
      </c>
      <c r="L67" s="10" t="s">
        <v>431</v>
      </c>
      <c r="M67" s="10" t="s">
        <v>432</v>
      </c>
      <c r="N67">
        <v>2453</v>
      </c>
      <c r="O67" s="10" t="s">
        <v>433</v>
      </c>
    </row>
    <row r="68" spans="1:15" x14ac:dyDescent="0.3">
      <c r="A68" s="10" t="s">
        <v>434</v>
      </c>
      <c r="B68" s="10" t="s">
        <v>435</v>
      </c>
      <c r="C68" s="10" t="s">
        <v>131</v>
      </c>
      <c r="D68" s="10" t="s">
        <v>132</v>
      </c>
      <c r="E68">
        <v>505992</v>
      </c>
      <c r="F68">
        <v>1492</v>
      </c>
      <c r="G68">
        <v>39441700</v>
      </c>
      <c r="H68">
        <v>78.8</v>
      </c>
      <c r="I68">
        <v>553233</v>
      </c>
      <c r="J68">
        <v>532031</v>
      </c>
      <c r="K68" s="10" t="s">
        <v>436</v>
      </c>
      <c r="L68" s="10" t="s">
        <v>184</v>
      </c>
      <c r="M68" s="10" t="s">
        <v>437</v>
      </c>
      <c r="N68">
        <v>653</v>
      </c>
      <c r="O68" s="10" t="s">
        <v>438</v>
      </c>
    </row>
    <row r="69" spans="1:15" x14ac:dyDescent="0.3">
      <c r="A69" s="10" t="s">
        <v>439</v>
      </c>
      <c r="B69" s="10" t="s">
        <v>440</v>
      </c>
      <c r="C69" s="10" t="s">
        <v>131</v>
      </c>
      <c r="D69" s="10" t="s">
        <v>441</v>
      </c>
      <c r="E69">
        <v>45227</v>
      </c>
      <c r="F69">
        <v>1991</v>
      </c>
      <c r="G69">
        <v>1439200</v>
      </c>
      <c r="H69">
        <v>69.5</v>
      </c>
      <c r="I69">
        <v>5328</v>
      </c>
      <c r="J69">
        <v>3371</v>
      </c>
      <c r="K69" s="10" t="s">
        <v>442</v>
      </c>
      <c r="L69" s="10" t="s">
        <v>121</v>
      </c>
      <c r="M69" s="10" t="s">
        <v>443</v>
      </c>
      <c r="N69">
        <v>3791</v>
      </c>
      <c r="O69" s="10" t="s">
        <v>444</v>
      </c>
    </row>
    <row r="70" spans="1:15" x14ac:dyDescent="0.3">
      <c r="A70" s="10" t="s">
        <v>445</v>
      </c>
      <c r="B70" s="10" t="s">
        <v>446</v>
      </c>
      <c r="C70" s="10" t="s">
        <v>119</v>
      </c>
      <c r="D70" s="10" t="s">
        <v>203</v>
      </c>
      <c r="E70">
        <v>1104300</v>
      </c>
      <c r="F70">
        <v>-1000</v>
      </c>
      <c r="G70">
        <v>62565000</v>
      </c>
      <c r="H70">
        <v>45.2</v>
      </c>
      <c r="I70">
        <v>6353</v>
      </c>
      <c r="J70">
        <v>6180</v>
      </c>
      <c r="K70" s="10" t="s">
        <v>447</v>
      </c>
      <c r="L70" s="10" t="s">
        <v>121</v>
      </c>
      <c r="M70" s="10" t="s">
        <v>448</v>
      </c>
      <c r="N70">
        <v>756</v>
      </c>
      <c r="O70" s="10" t="s">
        <v>449</v>
      </c>
    </row>
    <row r="71" spans="1:15" x14ac:dyDescent="0.3">
      <c r="A71" s="10" t="s">
        <v>450</v>
      </c>
      <c r="B71" s="10" t="s">
        <v>451</v>
      </c>
      <c r="C71" s="10" t="s">
        <v>131</v>
      </c>
      <c r="D71" s="10" t="s">
        <v>399</v>
      </c>
      <c r="E71">
        <v>338145</v>
      </c>
      <c r="F71">
        <v>1917</v>
      </c>
      <c r="G71">
        <v>5171300</v>
      </c>
      <c r="H71">
        <v>77.400000000000006</v>
      </c>
      <c r="I71">
        <v>121914</v>
      </c>
      <c r="J71">
        <v>119833</v>
      </c>
      <c r="K71" s="10" t="s">
        <v>452</v>
      </c>
      <c r="L71" s="10" t="s">
        <v>121</v>
      </c>
      <c r="M71" s="10" t="s">
        <v>453</v>
      </c>
      <c r="N71">
        <v>3236</v>
      </c>
      <c r="O71" s="10" t="s">
        <v>454</v>
      </c>
    </row>
    <row r="72" spans="1:15" x14ac:dyDescent="0.3">
      <c r="A72" s="10" t="s">
        <v>455</v>
      </c>
      <c r="B72" s="10" t="s">
        <v>456</v>
      </c>
      <c r="C72" s="10" t="s">
        <v>165</v>
      </c>
      <c r="D72" s="10" t="s">
        <v>457</v>
      </c>
      <c r="E72">
        <v>18274</v>
      </c>
      <c r="F72">
        <v>1970</v>
      </c>
      <c r="G72">
        <v>817000</v>
      </c>
      <c r="H72">
        <v>67.900000000000006</v>
      </c>
      <c r="I72">
        <v>1536</v>
      </c>
      <c r="J72">
        <v>2149</v>
      </c>
      <c r="K72" s="10" t="s">
        <v>456</v>
      </c>
      <c r="L72" s="10" t="s">
        <v>121</v>
      </c>
      <c r="M72" s="10" t="s">
        <v>458</v>
      </c>
      <c r="N72">
        <v>764</v>
      </c>
      <c r="O72" s="10" t="s">
        <v>459</v>
      </c>
    </row>
    <row r="73" spans="1:15" x14ac:dyDescent="0.3">
      <c r="A73" s="10" t="s">
        <v>460</v>
      </c>
      <c r="B73" s="10" t="s">
        <v>461</v>
      </c>
      <c r="C73" s="10" t="s">
        <v>154</v>
      </c>
      <c r="D73" s="10" t="s">
        <v>154</v>
      </c>
      <c r="E73">
        <v>12173</v>
      </c>
      <c r="G73">
        <v>2000</v>
      </c>
      <c r="I73">
        <v>0</v>
      </c>
      <c r="K73" s="10" t="s">
        <v>461</v>
      </c>
      <c r="L73" s="10" t="s">
        <v>126</v>
      </c>
      <c r="M73" s="10" t="s">
        <v>127</v>
      </c>
      <c r="N73">
        <v>763</v>
      </c>
      <c r="O73" s="10" t="s">
        <v>462</v>
      </c>
    </row>
    <row r="74" spans="1:15" x14ac:dyDescent="0.3">
      <c r="A74" s="10" t="s">
        <v>463</v>
      </c>
      <c r="B74" s="10" t="s">
        <v>464</v>
      </c>
      <c r="C74" s="10" t="s">
        <v>131</v>
      </c>
      <c r="D74" s="10" t="s">
        <v>192</v>
      </c>
      <c r="E74">
        <v>551500</v>
      </c>
      <c r="F74">
        <v>843</v>
      </c>
      <c r="G74">
        <v>59225700</v>
      </c>
      <c r="H74">
        <v>78.8</v>
      </c>
      <c r="I74">
        <v>1424285</v>
      </c>
      <c r="J74">
        <v>1392448</v>
      </c>
      <c r="K74" s="10" t="s">
        <v>464</v>
      </c>
      <c r="L74" s="10" t="s">
        <v>121</v>
      </c>
      <c r="M74" s="10" t="s">
        <v>180</v>
      </c>
      <c r="N74">
        <v>2974</v>
      </c>
      <c r="O74" s="10" t="s">
        <v>465</v>
      </c>
    </row>
    <row r="75" spans="1:15" x14ac:dyDescent="0.3">
      <c r="A75" s="10" t="s">
        <v>466</v>
      </c>
      <c r="B75" s="10" t="s">
        <v>467</v>
      </c>
      <c r="C75" s="10" t="s">
        <v>131</v>
      </c>
      <c r="D75" s="10" t="s">
        <v>399</v>
      </c>
      <c r="E75">
        <v>1399</v>
      </c>
      <c r="G75">
        <v>43000</v>
      </c>
      <c r="H75">
        <v>78.400000000000006</v>
      </c>
      <c r="I75">
        <v>0</v>
      </c>
      <c r="K75" s="10" t="s">
        <v>468</v>
      </c>
      <c r="L75" s="10" t="s">
        <v>469</v>
      </c>
      <c r="M75" s="10" t="s">
        <v>401</v>
      </c>
      <c r="N75">
        <v>901</v>
      </c>
      <c r="O75" s="10" t="s">
        <v>470</v>
      </c>
    </row>
    <row r="76" spans="1:15" x14ac:dyDescent="0.3">
      <c r="A76" s="10" t="s">
        <v>471</v>
      </c>
      <c r="B76" s="10" t="s">
        <v>472</v>
      </c>
      <c r="C76" s="10" t="s">
        <v>165</v>
      </c>
      <c r="D76" s="10" t="s">
        <v>473</v>
      </c>
      <c r="E76">
        <v>702</v>
      </c>
      <c r="F76">
        <v>1990</v>
      </c>
      <c r="G76">
        <v>119000</v>
      </c>
      <c r="H76">
        <v>68.599999999999994</v>
      </c>
      <c r="I76">
        <v>212</v>
      </c>
      <c r="K76" s="10" t="s">
        <v>473</v>
      </c>
      <c r="L76" s="10" t="s">
        <v>155</v>
      </c>
      <c r="M76" s="10" t="s">
        <v>474</v>
      </c>
      <c r="N76">
        <v>2689</v>
      </c>
      <c r="O76" s="10" t="s">
        <v>475</v>
      </c>
    </row>
    <row r="77" spans="1:15" x14ac:dyDescent="0.3">
      <c r="A77" s="10" t="s">
        <v>476</v>
      </c>
      <c r="B77" s="10" t="s">
        <v>477</v>
      </c>
      <c r="C77" s="10" t="s">
        <v>119</v>
      </c>
      <c r="D77" s="10" t="s">
        <v>120</v>
      </c>
      <c r="E77">
        <v>267668</v>
      </c>
      <c r="F77">
        <v>1960</v>
      </c>
      <c r="G77">
        <v>1226000</v>
      </c>
      <c r="H77">
        <v>50.1</v>
      </c>
      <c r="I77">
        <v>5493</v>
      </c>
      <c r="J77">
        <v>5279</v>
      </c>
      <c r="K77" s="10" t="s">
        <v>478</v>
      </c>
      <c r="L77" s="10" t="s">
        <v>121</v>
      </c>
      <c r="M77" s="10" t="s">
        <v>479</v>
      </c>
      <c r="N77">
        <v>902</v>
      </c>
      <c r="O77" s="10" t="s">
        <v>480</v>
      </c>
    </row>
    <row r="78" spans="1:15" x14ac:dyDescent="0.3">
      <c r="A78" s="10" t="s">
        <v>481</v>
      </c>
      <c r="B78" s="10" t="s">
        <v>482</v>
      </c>
      <c r="C78" s="10" t="s">
        <v>131</v>
      </c>
      <c r="D78" s="10" t="s">
        <v>483</v>
      </c>
      <c r="E78">
        <v>242900</v>
      </c>
      <c r="F78">
        <v>1066</v>
      </c>
      <c r="G78">
        <v>59623400</v>
      </c>
      <c r="H78">
        <v>77.7</v>
      </c>
      <c r="I78">
        <v>1378330</v>
      </c>
      <c r="J78">
        <v>1296830</v>
      </c>
      <c r="K78" s="10" t="s">
        <v>482</v>
      </c>
      <c r="L78" s="10" t="s">
        <v>184</v>
      </c>
      <c r="M78" s="10" t="s">
        <v>127</v>
      </c>
      <c r="N78">
        <v>456</v>
      </c>
      <c r="O78" s="10" t="s">
        <v>484</v>
      </c>
    </row>
    <row r="79" spans="1:15" x14ac:dyDescent="0.3">
      <c r="A79" s="10" t="s">
        <v>485</v>
      </c>
      <c r="B79" s="10" t="s">
        <v>486</v>
      </c>
      <c r="C79" s="10" t="s">
        <v>111</v>
      </c>
      <c r="D79" s="10" t="s">
        <v>147</v>
      </c>
      <c r="E79">
        <v>69700</v>
      </c>
      <c r="F79">
        <v>1991</v>
      </c>
      <c r="G79">
        <v>4968000</v>
      </c>
      <c r="H79">
        <v>64.5</v>
      </c>
      <c r="I79">
        <v>6064</v>
      </c>
      <c r="J79">
        <v>5924</v>
      </c>
      <c r="K79" s="10" t="s">
        <v>487</v>
      </c>
      <c r="L79" s="10" t="s">
        <v>121</v>
      </c>
      <c r="M79" s="10" t="s">
        <v>488</v>
      </c>
      <c r="N79">
        <v>905</v>
      </c>
      <c r="O79" s="10" t="s">
        <v>489</v>
      </c>
    </row>
    <row r="80" spans="1:15" x14ac:dyDescent="0.3">
      <c r="A80" s="10" t="s">
        <v>490</v>
      </c>
      <c r="B80" s="10" t="s">
        <v>491</v>
      </c>
      <c r="C80" s="10" t="s">
        <v>119</v>
      </c>
      <c r="D80" s="10" t="s">
        <v>214</v>
      </c>
      <c r="E80">
        <v>238533</v>
      </c>
      <c r="F80">
        <v>1957</v>
      </c>
      <c r="G80">
        <v>20212000</v>
      </c>
      <c r="H80">
        <v>57.4</v>
      </c>
      <c r="I80">
        <v>7137</v>
      </c>
      <c r="J80">
        <v>6884</v>
      </c>
      <c r="K80" s="10" t="s">
        <v>491</v>
      </c>
      <c r="L80" s="10" t="s">
        <v>121</v>
      </c>
      <c r="M80" s="10" t="s">
        <v>492</v>
      </c>
      <c r="N80">
        <v>910</v>
      </c>
      <c r="O80" s="10" t="s">
        <v>493</v>
      </c>
    </row>
    <row r="81" spans="1:15" x14ac:dyDescent="0.3">
      <c r="A81" s="10" t="s">
        <v>494</v>
      </c>
      <c r="B81" s="10" t="s">
        <v>495</v>
      </c>
      <c r="C81" s="10" t="s">
        <v>131</v>
      </c>
      <c r="D81" s="10" t="s">
        <v>132</v>
      </c>
      <c r="E81">
        <v>6</v>
      </c>
      <c r="G81">
        <v>25000</v>
      </c>
      <c r="H81">
        <v>79</v>
      </c>
      <c r="I81">
        <v>258</v>
      </c>
      <c r="K81" s="10" t="s">
        <v>495</v>
      </c>
      <c r="L81" s="10" t="s">
        <v>126</v>
      </c>
      <c r="M81" s="10" t="s">
        <v>127</v>
      </c>
      <c r="N81">
        <v>915</v>
      </c>
      <c r="O81" s="10" t="s">
        <v>496</v>
      </c>
    </row>
    <row r="82" spans="1:15" x14ac:dyDescent="0.3">
      <c r="A82" s="10" t="s">
        <v>497</v>
      </c>
      <c r="B82" s="10" t="s">
        <v>498</v>
      </c>
      <c r="C82" s="10" t="s">
        <v>119</v>
      </c>
      <c r="D82" s="10" t="s">
        <v>214</v>
      </c>
      <c r="E82">
        <v>245857</v>
      </c>
      <c r="F82">
        <v>1958</v>
      </c>
      <c r="G82">
        <v>7430000</v>
      </c>
      <c r="H82">
        <v>45.6</v>
      </c>
      <c r="I82">
        <v>2352</v>
      </c>
      <c r="J82">
        <v>2383</v>
      </c>
      <c r="K82" s="10" t="s">
        <v>499</v>
      </c>
      <c r="L82" s="10" t="s">
        <v>121</v>
      </c>
      <c r="M82" s="10" t="s">
        <v>500</v>
      </c>
      <c r="N82">
        <v>926</v>
      </c>
      <c r="O82" s="10" t="s">
        <v>501</v>
      </c>
    </row>
    <row r="83" spans="1:15" x14ac:dyDescent="0.3">
      <c r="A83" s="10" t="s">
        <v>502</v>
      </c>
      <c r="B83" s="10" t="s">
        <v>503</v>
      </c>
      <c r="C83" s="10" t="s">
        <v>104</v>
      </c>
      <c r="D83" s="10" t="s">
        <v>105</v>
      </c>
      <c r="E83">
        <v>1705</v>
      </c>
      <c r="G83">
        <v>456000</v>
      </c>
      <c r="H83">
        <v>77</v>
      </c>
      <c r="I83">
        <v>3501</v>
      </c>
      <c r="K83" s="10" t="s">
        <v>503</v>
      </c>
      <c r="L83" s="10" t="s">
        <v>504</v>
      </c>
      <c r="M83" s="10" t="s">
        <v>180</v>
      </c>
      <c r="N83">
        <v>919</v>
      </c>
      <c r="O83" s="10" t="s">
        <v>505</v>
      </c>
    </row>
    <row r="84" spans="1:15" x14ac:dyDescent="0.3">
      <c r="A84" s="10" t="s">
        <v>506</v>
      </c>
      <c r="B84" s="10" t="s">
        <v>507</v>
      </c>
      <c r="C84" s="10" t="s">
        <v>119</v>
      </c>
      <c r="D84" s="10" t="s">
        <v>214</v>
      </c>
      <c r="E84">
        <v>11295</v>
      </c>
      <c r="F84">
        <v>1965</v>
      </c>
      <c r="G84">
        <v>1305000</v>
      </c>
      <c r="H84">
        <v>53.2</v>
      </c>
      <c r="I84">
        <v>320</v>
      </c>
      <c r="J84">
        <v>325</v>
      </c>
      <c r="K84" s="10" t="s">
        <v>508</v>
      </c>
      <c r="L84" s="10" t="s">
        <v>121</v>
      </c>
      <c r="M84" s="10" t="s">
        <v>509</v>
      </c>
      <c r="N84">
        <v>904</v>
      </c>
      <c r="O84" s="10" t="s">
        <v>510</v>
      </c>
    </row>
    <row r="85" spans="1:15" x14ac:dyDescent="0.3">
      <c r="A85" s="10" t="s">
        <v>511</v>
      </c>
      <c r="B85" s="10" t="s">
        <v>512</v>
      </c>
      <c r="C85" s="10" t="s">
        <v>119</v>
      </c>
      <c r="D85" s="10" t="s">
        <v>214</v>
      </c>
      <c r="E85">
        <v>36125</v>
      </c>
      <c r="F85">
        <v>1974</v>
      </c>
      <c r="G85">
        <v>1213000</v>
      </c>
      <c r="H85">
        <v>49</v>
      </c>
      <c r="I85">
        <v>293</v>
      </c>
      <c r="J85">
        <v>272</v>
      </c>
      <c r="K85" s="10" t="s">
        <v>513</v>
      </c>
      <c r="L85" s="10" t="s">
        <v>121</v>
      </c>
      <c r="M85" s="10" t="s">
        <v>514</v>
      </c>
      <c r="N85">
        <v>927</v>
      </c>
      <c r="O85" s="10" t="s">
        <v>515</v>
      </c>
    </row>
    <row r="86" spans="1:15" x14ac:dyDescent="0.3">
      <c r="A86" s="10" t="s">
        <v>516</v>
      </c>
      <c r="B86" s="10" t="s">
        <v>517</v>
      </c>
      <c r="C86" s="10" t="s">
        <v>119</v>
      </c>
      <c r="D86" s="10" t="s">
        <v>120</v>
      </c>
      <c r="E86">
        <v>28051</v>
      </c>
      <c r="F86">
        <v>1968</v>
      </c>
      <c r="G86">
        <v>453000</v>
      </c>
      <c r="H86">
        <v>53.6</v>
      </c>
      <c r="I86">
        <v>283</v>
      </c>
      <c r="J86">
        <v>542</v>
      </c>
      <c r="K86" s="10" t="s">
        <v>518</v>
      </c>
      <c r="L86" s="10" t="s">
        <v>121</v>
      </c>
      <c r="M86" s="10" t="s">
        <v>519</v>
      </c>
      <c r="N86">
        <v>2972</v>
      </c>
      <c r="O86" s="10" t="s">
        <v>520</v>
      </c>
    </row>
    <row r="87" spans="1:15" x14ac:dyDescent="0.3">
      <c r="A87" s="10" t="s">
        <v>521</v>
      </c>
      <c r="B87" s="10" t="s">
        <v>522</v>
      </c>
      <c r="C87" s="10" t="s">
        <v>131</v>
      </c>
      <c r="D87" s="10" t="s">
        <v>132</v>
      </c>
      <c r="E87">
        <v>131626</v>
      </c>
      <c r="F87">
        <v>1830</v>
      </c>
      <c r="G87">
        <v>10545700</v>
      </c>
      <c r="H87">
        <v>78.400000000000006</v>
      </c>
      <c r="I87">
        <v>120724</v>
      </c>
      <c r="J87">
        <v>119946</v>
      </c>
      <c r="K87" s="10" t="s">
        <v>523</v>
      </c>
      <c r="L87" s="10" t="s">
        <v>121</v>
      </c>
      <c r="M87" s="10" t="s">
        <v>524</v>
      </c>
      <c r="N87">
        <v>2401</v>
      </c>
      <c r="O87" s="10" t="s">
        <v>525</v>
      </c>
    </row>
    <row r="88" spans="1:15" x14ac:dyDescent="0.3">
      <c r="A88" s="10" t="s">
        <v>526</v>
      </c>
      <c r="B88" s="10" t="s">
        <v>527</v>
      </c>
      <c r="C88" s="10" t="s">
        <v>104</v>
      </c>
      <c r="D88" s="10" t="s">
        <v>105</v>
      </c>
      <c r="E88">
        <v>344</v>
      </c>
      <c r="F88">
        <v>1974</v>
      </c>
      <c r="G88">
        <v>94000</v>
      </c>
      <c r="H88">
        <v>64.5</v>
      </c>
      <c r="I88">
        <v>318</v>
      </c>
      <c r="K88" s="10" t="s">
        <v>527</v>
      </c>
      <c r="L88" s="10" t="s">
        <v>184</v>
      </c>
      <c r="M88" s="10" t="s">
        <v>127</v>
      </c>
      <c r="N88">
        <v>916</v>
      </c>
      <c r="O88" s="10" t="s">
        <v>528</v>
      </c>
    </row>
    <row r="89" spans="1:15" x14ac:dyDescent="0.3">
      <c r="A89" s="10" t="s">
        <v>529</v>
      </c>
      <c r="B89" s="10" t="s">
        <v>530</v>
      </c>
      <c r="C89" s="10" t="s">
        <v>104</v>
      </c>
      <c r="D89" s="10" t="s">
        <v>104</v>
      </c>
      <c r="E89">
        <v>2166090</v>
      </c>
      <c r="G89">
        <v>56000</v>
      </c>
      <c r="H89">
        <v>68.099999999999994</v>
      </c>
      <c r="I89">
        <v>0</v>
      </c>
      <c r="K89" s="10" t="s">
        <v>531</v>
      </c>
      <c r="L89" s="10" t="s">
        <v>469</v>
      </c>
      <c r="M89" s="10" t="s">
        <v>401</v>
      </c>
      <c r="N89">
        <v>917</v>
      </c>
      <c r="O89" s="10" t="s">
        <v>532</v>
      </c>
    </row>
    <row r="90" spans="1:15" x14ac:dyDescent="0.3">
      <c r="A90" s="10" t="s">
        <v>533</v>
      </c>
      <c r="B90" s="10" t="s">
        <v>534</v>
      </c>
      <c r="C90" s="10" t="s">
        <v>104</v>
      </c>
      <c r="D90" s="10" t="s">
        <v>253</v>
      </c>
      <c r="E90">
        <v>108889</v>
      </c>
      <c r="F90">
        <v>1821</v>
      </c>
      <c r="G90">
        <v>11385000</v>
      </c>
      <c r="H90">
        <v>66.2</v>
      </c>
      <c r="I90">
        <v>19008</v>
      </c>
      <c r="J90">
        <v>17797</v>
      </c>
      <c r="K90" s="10" t="s">
        <v>534</v>
      </c>
      <c r="L90" s="10" t="s">
        <v>121</v>
      </c>
      <c r="M90" s="10" t="s">
        <v>535</v>
      </c>
      <c r="N90">
        <v>922</v>
      </c>
      <c r="O90" s="10" t="s">
        <v>536</v>
      </c>
    </row>
    <row r="91" spans="1:15" x14ac:dyDescent="0.3">
      <c r="A91" s="10" t="s">
        <v>537</v>
      </c>
      <c r="B91" s="10" t="s">
        <v>538</v>
      </c>
      <c r="C91" s="10" t="s">
        <v>154</v>
      </c>
      <c r="D91" s="10" t="s">
        <v>154</v>
      </c>
      <c r="E91">
        <v>90000</v>
      </c>
      <c r="G91">
        <v>181000</v>
      </c>
      <c r="H91">
        <v>76.099999999999994</v>
      </c>
      <c r="I91">
        <v>681</v>
      </c>
      <c r="K91" s="10" t="s">
        <v>539</v>
      </c>
      <c r="L91" s="10" t="s">
        <v>504</v>
      </c>
      <c r="M91" s="10" t="s">
        <v>180</v>
      </c>
      <c r="N91">
        <v>3014</v>
      </c>
      <c r="O91" s="10" t="s">
        <v>540</v>
      </c>
    </row>
    <row r="92" spans="1:15" x14ac:dyDescent="0.3">
      <c r="A92" s="10" t="s">
        <v>541</v>
      </c>
      <c r="B92" s="10" t="s">
        <v>542</v>
      </c>
      <c r="C92" s="10" t="s">
        <v>165</v>
      </c>
      <c r="D92" s="10" t="s">
        <v>473</v>
      </c>
      <c r="E92">
        <v>549</v>
      </c>
      <c r="G92">
        <v>168000</v>
      </c>
      <c r="H92">
        <v>77.8</v>
      </c>
      <c r="I92">
        <v>1197</v>
      </c>
      <c r="J92">
        <v>1136</v>
      </c>
      <c r="K92" s="10" t="s">
        <v>542</v>
      </c>
      <c r="L92" s="10" t="s">
        <v>168</v>
      </c>
      <c r="M92" s="10" t="s">
        <v>169</v>
      </c>
      <c r="N92">
        <v>921</v>
      </c>
      <c r="O92" s="10" t="s">
        <v>543</v>
      </c>
    </row>
    <row r="93" spans="1:15" x14ac:dyDescent="0.3">
      <c r="A93" s="10" t="s">
        <v>544</v>
      </c>
      <c r="B93" s="10" t="s">
        <v>545</v>
      </c>
      <c r="C93" s="10" t="s">
        <v>154</v>
      </c>
      <c r="D93" s="10" t="s">
        <v>154</v>
      </c>
      <c r="E93">
        <v>214969</v>
      </c>
      <c r="F93">
        <v>1966</v>
      </c>
      <c r="G93">
        <v>861000</v>
      </c>
      <c r="H93">
        <v>64</v>
      </c>
      <c r="I93">
        <v>722</v>
      </c>
      <c r="J93">
        <v>743</v>
      </c>
      <c r="K93" s="10" t="s">
        <v>545</v>
      </c>
      <c r="L93" s="10" t="s">
        <v>121</v>
      </c>
      <c r="M93" s="10" t="s">
        <v>546</v>
      </c>
      <c r="N93">
        <v>928</v>
      </c>
      <c r="O93" s="10" t="s">
        <v>547</v>
      </c>
    </row>
    <row r="94" spans="1:15" x14ac:dyDescent="0.3">
      <c r="A94" s="10" t="s">
        <v>548</v>
      </c>
      <c r="B94" s="10" t="s">
        <v>549</v>
      </c>
      <c r="C94" s="10" t="s">
        <v>111</v>
      </c>
      <c r="D94" s="10" t="s">
        <v>317</v>
      </c>
      <c r="E94">
        <v>1075</v>
      </c>
      <c r="G94">
        <v>6782000</v>
      </c>
      <c r="H94">
        <v>79.5</v>
      </c>
      <c r="I94">
        <v>166448</v>
      </c>
      <c r="J94">
        <v>173610</v>
      </c>
      <c r="K94" s="10" t="s">
        <v>550</v>
      </c>
      <c r="L94" s="10" t="s">
        <v>551</v>
      </c>
      <c r="M94" s="10" t="s">
        <v>320</v>
      </c>
      <c r="N94">
        <v>937</v>
      </c>
      <c r="O94" s="10" t="s">
        <v>552</v>
      </c>
    </row>
    <row r="95" spans="1:15" x14ac:dyDescent="0.3">
      <c r="A95" s="10" t="s">
        <v>553</v>
      </c>
      <c r="B95" s="10" t="s">
        <v>554</v>
      </c>
      <c r="C95" s="10" t="s">
        <v>172</v>
      </c>
      <c r="D95" s="10" t="s">
        <v>172</v>
      </c>
      <c r="E95">
        <v>359</v>
      </c>
      <c r="G95">
        <v>0</v>
      </c>
      <c r="I95">
        <v>0</v>
      </c>
      <c r="K95" s="10" t="s">
        <v>555</v>
      </c>
      <c r="L95" s="10" t="s">
        <v>303</v>
      </c>
      <c r="M95" s="10" t="s">
        <v>127</v>
      </c>
      <c r="O95" s="10" t="s">
        <v>556</v>
      </c>
    </row>
    <row r="96" spans="1:15" x14ac:dyDescent="0.3">
      <c r="A96" s="10" t="s">
        <v>557</v>
      </c>
      <c r="B96" s="10" t="s">
        <v>558</v>
      </c>
      <c r="C96" s="10" t="s">
        <v>104</v>
      </c>
      <c r="D96" s="10" t="s">
        <v>253</v>
      </c>
      <c r="E96">
        <v>112088</v>
      </c>
      <c r="F96">
        <v>1838</v>
      </c>
      <c r="G96">
        <v>6485000</v>
      </c>
      <c r="H96">
        <v>69.900000000000006</v>
      </c>
      <c r="I96">
        <v>5333</v>
      </c>
      <c r="J96">
        <v>4697</v>
      </c>
      <c r="K96" s="10" t="s">
        <v>558</v>
      </c>
      <c r="L96" s="10" t="s">
        <v>121</v>
      </c>
      <c r="M96" s="10" t="s">
        <v>559</v>
      </c>
      <c r="N96">
        <v>933</v>
      </c>
      <c r="O96" s="10" t="s">
        <v>560</v>
      </c>
    </row>
    <row r="97" spans="1:15" x14ac:dyDescent="0.3">
      <c r="A97" s="10" t="s">
        <v>561</v>
      </c>
      <c r="B97" s="10" t="s">
        <v>562</v>
      </c>
      <c r="C97" s="10" t="s">
        <v>131</v>
      </c>
      <c r="D97" s="10" t="s">
        <v>132</v>
      </c>
      <c r="E97">
        <v>56538</v>
      </c>
      <c r="F97">
        <v>1991</v>
      </c>
      <c r="G97">
        <v>4473000</v>
      </c>
      <c r="H97">
        <v>73.7</v>
      </c>
      <c r="I97">
        <v>20208</v>
      </c>
      <c r="J97">
        <v>19300</v>
      </c>
      <c r="K97" s="10" t="s">
        <v>563</v>
      </c>
      <c r="L97" s="10" t="s">
        <v>121</v>
      </c>
      <c r="M97" s="10" t="s">
        <v>564</v>
      </c>
      <c r="N97">
        <v>2409</v>
      </c>
      <c r="O97" s="10" t="s">
        <v>565</v>
      </c>
    </row>
    <row r="98" spans="1:15" x14ac:dyDescent="0.3">
      <c r="A98" s="10" t="s">
        <v>566</v>
      </c>
      <c r="B98" s="10" t="s">
        <v>567</v>
      </c>
      <c r="C98" s="10" t="s">
        <v>104</v>
      </c>
      <c r="D98" s="10" t="s">
        <v>105</v>
      </c>
      <c r="E98">
        <v>27750</v>
      </c>
      <c r="F98">
        <v>1804</v>
      </c>
      <c r="G98">
        <v>8222000</v>
      </c>
      <c r="H98">
        <v>49.2</v>
      </c>
      <c r="I98">
        <v>3459</v>
      </c>
      <c r="J98">
        <v>3107</v>
      </c>
      <c r="K98" s="10" t="s">
        <v>568</v>
      </c>
      <c r="L98" s="10" t="s">
        <v>121</v>
      </c>
      <c r="M98" s="10" t="s">
        <v>569</v>
      </c>
      <c r="N98">
        <v>929</v>
      </c>
      <c r="O98" s="10" t="s">
        <v>570</v>
      </c>
    </row>
    <row r="99" spans="1:15" x14ac:dyDescent="0.3">
      <c r="A99" s="10" t="s">
        <v>571</v>
      </c>
      <c r="B99" s="10" t="s">
        <v>572</v>
      </c>
      <c r="C99" s="10" t="s">
        <v>131</v>
      </c>
      <c r="D99" s="10" t="s">
        <v>228</v>
      </c>
      <c r="E99">
        <v>93030</v>
      </c>
      <c r="F99">
        <v>1918</v>
      </c>
      <c r="G99">
        <v>10043200</v>
      </c>
      <c r="H99">
        <v>71.400000000000006</v>
      </c>
      <c r="I99">
        <v>48267</v>
      </c>
      <c r="J99">
        <v>45914</v>
      </c>
      <c r="K99" s="10" t="s">
        <v>573</v>
      </c>
      <c r="L99" s="10" t="s">
        <v>121</v>
      </c>
      <c r="M99" s="10" t="s">
        <v>574</v>
      </c>
      <c r="N99">
        <v>3483</v>
      </c>
      <c r="O99" s="10" t="s">
        <v>575</v>
      </c>
    </row>
    <row r="100" spans="1:15" x14ac:dyDescent="0.3">
      <c r="A100" s="10" t="s">
        <v>576</v>
      </c>
      <c r="B100" s="10" t="s">
        <v>577</v>
      </c>
      <c r="C100" s="10" t="s">
        <v>111</v>
      </c>
      <c r="D100" s="10" t="s">
        <v>272</v>
      </c>
      <c r="E100">
        <v>1904569</v>
      </c>
      <c r="F100">
        <v>1945</v>
      </c>
      <c r="G100">
        <v>212107000</v>
      </c>
      <c r="H100">
        <v>68</v>
      </c>
      <c r="I100">
        <v>84982</v>
      </c>
      <c r="J100">
        <v>215002</v>
      </c>
      <c r="K100" s="10" t="s">
        <v>577</v>
      </c>
      <c r="L100" s="10" t="s">
        <v>121</v>
      </c>
      <c r="M100" s="10" t="s">
        <v>578</v>
      </c>
      <c r="N100">
        <v>939</v>
      </c>
      <c r="O100" s="10" t="s">
        <v>579</v>
      </c>
    </row>
    <row r="101" spans="1:15" x14ac:dyDescent="0.3">
      <c r="A101" s="10" t="s">
        <v>580</v>
      </c>
      <c r="B101" s="10" t="s">
        <v>581</v>
      </c>
      <c r="C101" s="10" t="s">
        <v>111</v>
      </c>
      <c r="D101" s="10" t="s">
        <v>112</v>
      </c>
      <c r="E101">
        <v>3287263</v>
      </c>
      <c r="F101">
        <v>1947</v>
      </c>
      <c r="G101">
        <v>1013662000</v>
      </c>
      <c r="H101">
        <v>62.5</v>
      </c>
      <c r="I101">
        <v>447114</v>
      </c>
      <c r="J101">
        <v>430572</v>
      </c>
      <c r="K101" s="10" t="s">
        <v>582</v>
      </c>
      <c r="L101" s="10" t="s">
        <v>155</v>
      </c>
      <c r="M101" s="10" t="s">
        <v>583</v>
      </c>
      <c r="N101">
        <v>1109</v>
      </c>
      <c r="O101" s="10" t="s">
        <v>584</v>
      </c>
    </row>
    <row r="102" spans="1:15" x14ac:dyDescent="0.3">
      <c r="A102" s="10" t="s">
        <v>585</v>
      </c>
      <c r="B102" s="10" t="s">
        <v>586</v>
      </c>
      <c r="C102" s="10" t="s">
        <v>119</v>
      </c>
      <c r="D102" s="10" t="s">
        <v>203</v>
      </c>
      <c r="E102">
        <v>78</v>
      </c>
      <c r="G102">
        <v>0</v>
      </c>
      <c r="I102">
        <v>0</v>
      </c>
      <c r="K102" s="10" t="s">
        <v>586</v>
      </c>
      <c r="L102" s="10" t="s">
        <v>126</v>
      </c>
      <c r="M102" s="10" t="s">
        <v>127</v>
      </c>
      <c r="O102" s="10" t="s">
        <v>587</v>
      </c>
    </row>
    <row r="103" spans="1:15" x14ac:dyDescent="0.3">
      <c r="A103" s="10" t="s">
        <v>588</v>
      </c>
      <c r="B103" s="10" t="s">
        <v>589</v>
      </c>
      <c r="C103" s="10" t="s">
        <v>131</v>
      </c>
      <c r="D103" s="10" t="s">
        <v>483</v>
      </c>
      <c r="E103">
        <v>70273</v>
      </c>
      <c r="F103">
        <v>1921</v>
      </c>
      <c r="G103">
        <v>3775100</v>
      </c>
      <c r="H103">
        <v>76.8</v>
      </c>
      <c r="I103">
        <v>75921</v>
      </c>
      <c r="J103">
        <v>73132</v>
      </c>
      <c r="K103" s="10" t="s">
        <v>590</v>
      </c>
      <c r="L103" s="10" t="s">
        <v>121</v>
      </c>
      <c r="M103" s="10" t="s">
        <v>591</v>
      </c>
      <c r="N103">
        <v>1447</v>
      </c>
      <c r="O103" s="10" t="s">
        <v>592</v>
      </c>
    </row>
    <row r="104" spans="1:15" x14ac:dyDescent="0.3">
      <c r="A104" s="10" t="s">
        <v>593</v>
      </c>
      <c r="B104" s="10" t="s">
        <v>594</v>
      </c>
      <c r="C104" s="10" t="s">
        <v>111</v>
      </c>
      <c r="D104" s="10" t="s">
        <v>112</v>
      </c>
      <c r="E104">
        <v>1648195</v>
      </c>
      <c r="F104">
        <v>1906</v>
      </c>
      <c r="G104">
        <v>67702000</v>
      </c>
      <c r="H104">
        <v>69.7</v>
      </c>
      <c r="I104">
        <v>195746</v>
      </c>
      <c r="J104">
        <v>160151</v>
      </c>
      <c r="K104" s="10" t="s">
        <v>594</v>
      </c>
      <c r="L104" s="10" t="s">
        <v>595</v>
      </c>
      <c r="M104" s="10" t="s">
        <v>596</v>
      </c>
      <c r="N104">
        <v>1380</v>
      </c>
      <c r="O104" s="10" t="s">
        <v>597</v>
      </c>
    </row>
    <row r="105" spans="1:15" x14ac:dyDescent="0.3">
      <c r="A105" s="10" t="s">
        <v>598</v>
      </c>
      <c r="B105" s="10" t="s">
        <v>599</v>
      </c>
      <c r="C105" s="10" t="s">
        <v>111</v>
      </c>
      <c r="D105" s="10" t="s">
        <v>147</v>
      </c>
      <c r="E105">
        <v>438317</v>
      </c>
      <c r="F105">
        <v>1932</v>
      </c>
      <c r="G105">
        <v>23115000</v>
      </c>
      <c r="H105">
        <v>66.5</v>
      </c>
      <c r="I105">
        <v>11500</v>
      </c>
      <c r="K105" s="10" t="s">
        <v>600</v>
      </c>
      <c r="L105" s="10" t="s">
        <v>121</v>
      </c>
      <c r="M105" s="10" t="s">
        <v>601</v>
      </c>
      <c r="N105">
        <v>1365</v>
      </c>
      <c r="O105" s="10" t="s">
        <v>602</v>
      </c>
    </row>
    <row r="106" spans="1:15" x14ac:dyDescent="0.3">
      <c r="A106" s="10" t="s">
        <v>603</v>
      </c>
      <c r="B106" s="10" t="s">
        <v>604</v>
      </c>
      <c r="C106" s="10" t="s">
        <v>131</v>
      </c>
      <c r="D106" s="10" t="s">
        <v>399</v>
      </c>
      <c r="E106">
        <v>103000</v>
      </c>
      <c r="F106">
        <v>1944</v>
      </c>
      <c r="G106">
        <v>279000</v>
      </c>
      <c r="H106">
        <v>79.400000000000006</v>
      </c>
      <c r="I106">
        <v>8255</v>
      </c>
      <c r="J106">
        <v>7474</v>
      </c>
      <c r="K106" s="10" t="s">
        <v>605</v>
      </c>
      <c r="L106" s="10" t="s">
        <v>121</v>
      </c>
      <c r="M106" s="10" t="s">
        <v>606</v>
      </c>
      <c r="N106">
        <v>1449</v>
      </c>
      <c r="O106" s="10" t="s">
        <v>607</v>
      </c>
    </row>
    <row r="107" spans="1:15" x14ac:dyDescent="0.3">
      <c r="A107" s="10" t="s">
        <v>608</v>
      </c>
      <c r="B107" s="10" t="s">
        <v>609</v>
      </c>
      <c r="C107" s="10" t="s">
        <v>111</v>
      </c>
      <c r="D107" s="10" t="s">
        <v>147</v>
      </c>
      <c r="E107">
        <v>21056</v>
      </c>
      <c r="F107">
        <v>1948</v>
      </c>
      <c r="G107">
        <v>6217000</v>
      </c>
      <c r="H107">
        <v>78.599999999999994</v>
      </c>
      <c r="I107">
        <v>97477</v>
      </c>
      <c r="J107">
        <v>98577</v>
      </c>
      <c r="K107" s="10" t="s">
        <v>610</v>
      </c>
      <c r="L107" s="10" t="s">
        <v>121</v>
      </c>
      <c r="M107" s="10" t="s">
        <v>611</v>
      </c>
      <c r="N107">
        <v>1450</v>
      </c>
      <c r="O107" s="10" t="s">
        <v>612</v>
      </c>
    </row>
    <row r="108" spans="1:15" x14ac:dyDescent="0.3">
      <c r="A108" s="10" t="s">
        <v>613</v>
      </c>
      <c r="B108" s="10" t="s">
        <v>614</v>
      </c>
      <c r="C108" s="10" t="s">
        <v>131</v>
      </c>
      <c r="D108" s="10" t="s">
        <v>132</v>
      </c>
      <c r="E108">
        <v>301316</v>
      </c>
      <c r="F108">
        <v>1861</v>
      </c>
      <c r="G108">
        <v>57680000</v>
      </c>
      <c r="H108">
        <v>79</v>
      </c>
      <c r="I108">
        <v>1161755</v>
      </c>
      <c r="J108">
        <v>1145372</v>
      </c>
      <c r="K108" s="10" t="s">
        <v>615</v>
      </c>
      <c r="L108" s="10" t="s">
        <v>121</v>
      </c>
      <c r="M108" s="10" t="s">
        <v>616</v>
      </c>
      <c r="N108">
        <v>1464</v>
      </c>
      <c r="O108" s="10" t="s">
        <v>617</v>
      </c>
    </row>
    <row r="109" spans="1:15" x14ac:dyDescent="0.3">
      <c r="A109" s="10" t="s">
        <v>618</v>
      </c>
      <c r="B109" s="10" t="s">
        <v>619</v>
      </c>
      <c r="C109" s="10" t="s">
        <v>104</v>
      </c>
      <c r="D109" s="10" t="s">
        <v>105</v>
      </c>
      <c r="E109">
        <v>10990</v>
      </c>
      <c r="F109">
        <v>1962</v>
      </c>
      <c r="G109">
        <v>2583000</v>
      </c>
      <c r="H109">
        <v>75.2</v>
      </c>
      <c r="I109">
        <v>6871</v>
      </c>
      <c r="J109">
        <v>6722</v>
      </c>
      <c r="K109" s="10" t="s">
        <v>619</v>
      </c>
      <c r="L109" s="10" t="s">
        <v>184</v>
      </c>
      <c r="M109" s="10" t="s">
        <v>127</v>
      </c>
      <c r="N109">
        <v>1530</v>
      </c>
      <c r="O109" s="10" t="s">
        <v>620</v>
      </c>
    </row>
    <row r="110" spans="1:15" x14ac:dyDescent="0.3">
      <c r="A110" s="10" t="s">
        <v>621</v>
      </c>
      <c r="B110" s="10" t="s">
        <v>622</v>
      </c>
      <c r="C110" s="10" t="s">
        <v>111</v>
      </c>
      <c r="D110" s="10" t="s">
        <v>147</v>
      </c>
      <c r="E110">
        <v>88946</v>
      </c>
      <c r="F110">
        <v>1946</v>
      </c>
      <c r="G110">
        <v>5083000</v>
      </c>
      <c r="H110">
        <v>77.400000000000006</v>
      </c>
      <c r="I110">
        <v>7526</v>
      </c>
      <c r="J110">
        <v>7051</v>
      </c>
      <c r="K110" s="10" t="s">
        <v>623</v>
      </c>
      <c r="L110" s="10" t="s">
        <v>184</v>
      </c>
      <c r="M110" s="10" t="s">
        <v>624</v>
      </c>
      <c r="N110">
        <v>1786</v>
      </c>
      <c r="O110" s="10" t="s">
        <v>625</v>
      </c>
    </row>
    <row r="111" spans="1:15" x14ac:dyDescent="0.3">
      <c r="A111" s="10" t="s">
        <v>626</v>
      </c>
      <c r="B111" s="10" t="s">
        <v>17</v>
      </c>
      <c r="C111" s="10" t="s">
        <v>111</v>
      </c>
      <c r="D111" s="10" t="s">
        <v>317</v>
      </c>
      <c r="E111">
        <v>377829</v>
      </c>
      <c r="F111">
        <v>-660</v>
      </c>
      <c r="G111">
        <v>126714000</v>
      </c>
      <c r="H111">
        <v>80.7</v>
      </c>
      <c r="I111">
        <v>3787042</v>
      </c>
      <c r="J111">
        <v>4192638</v>
      </c>
      <c r="K111" s="10" t="s">
        <v>627</v>
      </c>
      <c r="L111" s="10" t="s">
        <v>184</v>
      </c>
      <c r="M111" s="10" t="s">
        <v>628</v>
      </c>
      <c r="N111">
        <v>1532</v>
      </c>
      <c r="O111" s="10" t="s">
        <v>629</v>
      </c>
    </row>
    <row r="112" spans="1:15" x14ac:dyDescent="0.3">
      <c r="A112" s="10" t="s">
        <v>630</v>
      </c>
      <c r="B112" s="10" t="s">
        <v>631</v>
      </c>
      <c r="C112" s="10" t="s">
        <v>111</v>
      </c>
      <c r="D112" s="10" t="s">
        <v>112</v>
      </c>
      <c r="E112">
        <v>2724900</v>
      </c>
      <c r="F112">
        <v>1991</v>
      </c>
      <c r="G112">
        <v>16223000</v>
      </c>
      <c r="H112">
        <v>63.2</v>
      </c>
      <c r="I112">
        <v>24375</v>
      </c>
      <c r="J112">
        <v>23383</v>
      </c>
      <c r="K112" s="10" t="s">
        <v>632</v>
      </c>
      <c r="L112" s="10" t="s">
        <v>121</v>
      </c>
      <c r="M112" s="10" t="s">
        <v>633</v>
      </c>
      <c r="N112">
        <v>1864</v>
      </c>
      <c r="O112" s="10" t="s">
        <v>634</v>
      </c>
    </row>
    <row r="113" spans="1:15" x14ac:dyDescent="0.3">
      <c r="A113" s="10" t="s">
        <v>635</v>
      </c>
      <c r="B113" s="10" t="s">
        <v>636</v>
      </c>
      <c r="C113" s="10" t="s">
        <v>119</v>
      </c>
      <c r="D113" s="10" t="s">
        <v>203</v>
      </c>
      <c r="E113">
        <v>580367</v>
      </c>
      <c r="F113">
        <v>1963</v>
      </c>
      <c r="G113">
        <v>30080000</v>
      </c>
      <c r="H113">
        <v>48</v>
      </c>
      <c r="I113">
        <v>9217</v>
      </c>
      <c r="J113">
        <v>10241</v>
      </c>
      <c r="K113" s="10" t="s">
        <v>636</v>
      </c>
      <c r="L113" s="10" t="s">
        <v>121</v>
      </c>
      <c r="M113" s="10" t="s">
        <v>637</v>
      </c>
      <c r="N113">
        <v>1881</v>
      </c>
      <c r="O113" s="10" t="s">
        <v>638</v>
      </c>
    </row>
    <row r="114" spans="1:15" x14ac:dyDescent="0.3">
      <c r="A114" s="10" t="s">
        <v>639</v>
      </c>
      <c r="B114" s="10" t="s">
        <v>640</v>
      </c>
      <c r="C114" s="10" t="s">
        <v>111</v>
      </c>
      <c r="D114" s="10" t="s">
        <v>112</v>
      </c>
      <c r="E114">
        <v>199900</v>
      </c>
      <c r="F114">
        <v>1991</v>
      </c>
      <c r="G114">
        <v>4699000</v>
      </c>
      <c r="H114">
        <v>63.4</v>
      </c>
      <c r="I114">
        <v>1626</v>
      </c>
      <c r="J114">
        <v>1767</v>
      </c>
      <c r="K114" s="10" t="s">
        <v>640</v>
      </c>
      <c r="L114" s="10" t="s">
        <v>121</v>
      </c>
      <c r="M114" s="10" t="s">
        <v>641</v>
      </c>
      <c r="N114">
        <v>2253</v>
      </c>
      <c r="O114" s="10" t="s">
        <v>642</v>
      </c>
    </row>
    <row r="115" spans="1:15" x14ac:dyDescent="0.3">
      <c r="A115" s="10" t="s">
        <v>643</v>
      </c>
      <c r="B115" s="10" t="s">
        <v>644</v>
      </c>
      <c r="C115" s="10" t="s">
        <v>111</v>
      </c>
      <c r="D115" s="10" t="s">
        <v>272</v>
      </c>
      <c r="E115">
        <v>181035</v>
      </c>
      <c r="F115">
        <v>1953</v>
      </c>
      <c r="G115">
        <v>11168000</v>
      </c>
      <c r="H115">
        <v>56.5</v>
      </c>
      <c r="I115">
        <v>5121</v>
      </c>
      <c r="J115">
        <v>5670</v>
      </c>
      <c r="K115" s="10" t="s">
        <v>645</v>
      </c>
      <c r="L115" s="10" t="s">
        <v>184</v>
      </c>
      <c r="M115" s="10" t="s">
        <v>646</v>
      </c>
      <c r="N115">
        <v>1800</v>
      </c>
      <c r="O115" s="10" t="s">
        <v>647</v>
      </c>
    </row>
    <row r="116" spans="1:15" x14ac:dyDescent="0.3">
      <c r="A116" s="10" t="s">
        <v>648</v>
      </c>
      <c r="B116" s="10" t="s">
        <v>649</v>
      </c>
      <c r="C116" s="10" t="s">
        <v>165</v>
      </c>
      <c r="D116" s="10" t="s">
        <v>473</v>
      </c>
      <c r="E116">
        <v>726</v>
      </c>
      <c r="F116">
        <v>1979</v>
      </c>
      <c r="G116">
        <v>83000</v>
      </c>
      <c r="H116">
        <v>59.8</v>
      </c>
      <c r="I116">
        <v>40.700000000000003</v>
      </c>
      <c r="K116" s="10" t="s">
        <v>649</v>
      </c>
      <c r="L116" s="10" t="s">
        <v>121</v>
      </c>
      <c r="M116" s="10" t="s">
        <v>650</v>
      </c>
      <c r="N116">
        <v>2256</v>
      </c>
      <c r="O116" s="10" t="s">
        <v>651</v>
      </c>
    </row>
    <row r="117" spans="1:15" x14ac:dyDescent="0.3">
      <c r="A117" s="10" t="s">
        <v>652</v>
      </c>
      <c r="B117" s="10" t="s">
        <v>653</v>
      </c>
      <c r="C117" s="10" t="s">
        <v>104</v>
      </c>
      <c r="D117" s="10" t="s">
        <v>105</v>
      </c>
      <c r="E117">
        <v>261</v>
      </c>
      <c r="F117">
        <v>1983</v>
      </c>
      <c r="G117">
        <v>38000</v>
      </c>
      <c r="H117">
        <v>70.7</v>
      </c>
      <c r="I117">
        <v>299</v>
      </c>
      <c r="K117" s="10" t="s">
        <v>653</v>
      </c>
      <c r="L117" s="10" t="s">
        <v>184</v>
      </c>
      <c r="M117" s="10" t="s">
        <v>127</v>
      </c>
      <c r="N117">
        <v>3064</v>
      </c>
      <c r="O117" s="10" t="s">
        <v>654</v>
      </c>
    </row>
    <row r="118" spans="1:15" x14ac:dyDescent="0.3">
      <c r="A118" s="10" t="s">
        <v>655</v>
      </c>
      <c r="B118" s="10" t="s">
        <v>656</v>
      </c>
      <c r="C118" s="10" t="s">
        <v>111</v>
      </c>
      <c r="D118" s="10" t="s">
        <v>317</v>
      </c>
      <c r="E118">
        <v>99434</v>
      </c>
      <c r="F118">
        <v>1948</v>
      </c>
      <c r="G118">
        <v>46844000</v>
      </c>
      <c r="H118">
        <v>74.400000000000006</v>
      </c>
      <c r="I118">
        <v>320749</v>
      </c>
      <c r="J118">
        <v>442544</v>
      </c>
      <c r="K118" s="10" t="s">
        <v>657</v>
      </c>
      <c r="L118" s="10" t="s">
        <v>121</v>
      </c>
      <c r="M118" s="10" t="s">
        <v>658</v>
      </c>
      <c r="N118">
        <v>2331</v>
      </c>
      <c r="O118" s="10" t="s">
        <v>659</v>
      </c>
    </row>
    <row r="119" spans="1:15" x14ac:dyDescent="0.3">
      <c r="A119" s="10" t="s">
        <v>660</v>
      </c>
      <c r="B119" s="10" t="s">
        <v>661</v>
      </c>
      <c r="C119" s="10" t="s">
        <v>111</v>
      </c>
      <c r="D119" s="10" t="s">
        <v>147</v>
      </c>
      <c r="E119">
        <v>17818</v>
      </c>
      <c r="F119">
        <v>1961</v>
      </c>
      <c r="G119">
        <v>1972000</v>
      </c>
      <c r="H119">
        <v>76.099999999999994</v>
      </c>
      <c r="I119">
        <v>27037</v>
      </c>
      <c r="J119">
        <v>30373</v>
      </c>
      <c r="K119" s="10" t="s">
        <v>662</v>
      </c>
      <c r="L119" s="10" t="s">
        <v>663</v>
      </c>
      <c r="M119" s="10" t="s">
        <v>664</v>
      </c>
      <c r="N119">
        <v>2429</v>
      </c>
      <c r="O119" s="10" t="s">
        <v>665</v>
      </c>
    </row>
    <row r="120" spans="1:15" x14ac:dyDescent="0.3">
      <c r="A120" s="10" t="s">
        <v>666</v>
      </c>
      <c r="B120" s="10" t="s">
        <v>667</v>
      </c>
      <c r="C120" s="10" t="s">
        <v>111</v>
      </c>
      <c r="D120" s="10" t="s">
        <v>272</v>
      </c>
      <c r="E120">
        <v>236800</v>
      </c>
      <c r="F120">
        <v>1953</v>
      </c>
      <c r="G120">
        <v>5433000</v>
      </c>
      <c r="H120">
        <v>53.1</v>
      </c>
      <c r="I120">
        <v>1292</v>
      </c>
      <c r="J120">
        <v>1746</v>
      </c>
      <c r="K120" s="10" t="s">
        <v>668</v>
      </c>
      <c r="L120" s="10" t="s">
        <v>121</v>
      </c>
      <c r="M120" s="10" t="s">
        <v>669</v>
      </c>
      <c r="N120">
        <v>2432</v>
      </c>
      <c r="O120" s="10" t="s">
        <v>670</v>
      </c>
    </row>
    <row r="121" spans="1:15" x14ac:dyDescent="0.3">
      <c r="A121" s="10" t="s">
        <v>671</v>
      </c>
      <c r="B121" s="10" t="s">
        <v>672</v>
      </c>
      <c r="C121" s="10" t="s">
        <v>111</v>
      </c>
      <c r="D121" s="10" t="s">
        <v>147</v>
      </c>
      <c r="E121">
        <v>10400</v>
      </c>
      <c r="F121">
        <v>1941</v>
      </c>
      <c r="G121">
        <v>3282000</v>
      </c>
      <c r="H121">
        <v>71.3</v>
      </c>
      <c r="I121">
        <v>17121</v>
      </c>
      <c r="J121">
        <v>15129</v>
      </c>
      <c r="K121" s="10" t="s">
        <v>673</v>
      </c>
      <c r="L121" s="10" t="s">
        <v>121</v>
      </c>
      <c r="M121" s="10" t="s">
        <v>674</v>
      </c>
      <c r="N121">
        <v>2438</v>
      </c>
      <c r="O121" s="10" t="s">
        <v>675</v>
      </c>
    </row>
    <row r="122" spans="1:15" x14ac:dyDescent="0.3">
      <c r="A122" s="10" t="s">
        <v>676</v>
      </c>
      <c r="B122" s="10" t="s">
        <v>677</v>
      </c>
      <c r="C122" s="10" t="s">
        <v>119</v>
      </c>
      <c r="D122" s="10" t="s">
        <v>214</v>
      </c>
      <c r="E122">
        <v>111369</v>
      </c>
      <c r="F122">
        <v>1847</v>
      </c>
      <c r="G122">
        <v>3154000</v>
      </c>
      <c r="H122">
        <v>51</v>
      </c>
      <c r="I122">
        <v>2012</v>
      </c>
      <c r="K122" s="10" t="s">
        <v>677</v>
      </c>
      <c r="L122" s="10" t="s">
        <v>121</v>
      </c>
      <c r="M122" s="10" t="s">
        <v>678</v>
      </c>
      <c r="N122">
        <v>2440</v>
      </c>
      <c r="O122" s="10" t="s">
        <v>679</v>
      </c>
    </row>
    <row r="123" spans="1:15" x14ac:dyDescent="0.3">
      <c r="A123" s="10" t="s">
        <v>680</v>
      </c>
      <c r="B123" s="10" t="s">
        <v>681</v>
      </c>
      <c r="C123" s="10" t="s">
        <v>119</v>
      </c>
      <c r="D123" s="10" t="s">
        <v>410</v>
      </c>
      <c r="E123">
        <v>1759540</v>
      </c>
      <c r="F123">
        <v>1951</v>
      </c>
      <c r="G123">
        <v>5605000</v>
      </c>
      <c r="H123">
        <v>75.5</v>
      </c>
      <c r="I123">
        <v>44806</v>
      </c>
      <c r="J123">
        <v>40562</v>
      </c>
      <c r="K123" s="10" t="s">
        <v>682</v>
      </c>
      <c r="L123" s="10" t="s">
        <v>683</v>
      </c>
      <c r="M123" s="10" t="s">
        <v>684</v>
      </c>
      <c r="N123">
        <v>2441</v>
      </c>
      <c r="O123" s="10" t="s">
        <v>685</v>
      </c>
    </row>
    <row r="124" spans="1:15" x14ac:dyDescent="0.3">
      <c r="A124" s="10" t="s">
        <v>686</v>
      </c>
      <c r="B124" s="10" t="s">
        <v>687</v>
      </c>
      <c r="C124" s="10" t="s">
        <v>104</v>
      </c>
      <c r="D124" s="10" t="s">
        <v>105</v>
      </c>
      <c r="E124">
        <v>622</v>
      </c>
      <c r="F124">
        <v>1979</v>
      </c>
      <c r="G124">
        <v>154000</v>
      </c>
      <c r="H124">
        <v>72.3</v>
      </c>
      <c r="I124">
        <v>571</v>
      </c>
      <c r="K124" s="10" t="s">
        <v>687</v>
      </c>
      <c r="L124" s="10" t="s">
        <v>184</v>
      </c>
      <c r="M124" s="10" t="s">
        <v>127</v>
      </c>
      <c r="N124">
        <v>3065</v>
      </c>
      <c r="O124" s="10" t="s">
        <v>688</v>
      </c>
    </row>
    <row r="125" spans="1:15" x14ac:dyDescent="0.3">
      <c r="A125" s="10" t="s">
        <v>689</v>
      </c>
      <c r="B125" s="10" t="s">
        <v>690</v>
      </c>
      <c r="C125" s="10" t="s">
        <v>131</v>
      </c>
      <c r="D125" s="10" t="s">
        <v>192</v>
      </c>
      <c r="E125">
        <v>160</v>
      </c>
      <c r="F125">
        <v>1806</v>
      </c>
      <c r="G125">
        <v>32300</v>
      </c>
      <c r="H125">
        <v>78.8</v>
      </c>
      <c r="I125">
        <v>1119</v>
      </c>
      <c r="J125">
        <v>1084</v>
      </c>
      <c r="K125" s="10" t="s">
        <v>690</v>
      </c>
      <c r="L125" s="10" t="s">
        <v>184</v>
      </c>
      <c r="M125" s="10" t="s">
        <v>691</v>
      </c>
      <c r="N125">
        <v>2446</v>
      </c>
      <c r="O125" s="10" t="s">
        <v>692</v>
      </c>
    </row>
    <row r="126" spans="1:15" x14ac:dyDescent="0.3">
      <c r="A126" s="10" t="s">
        <v>693</v>
      </c>
      <c r="B126" s="10" t="s">
        <v>694</v>
      </c>
      <c r="C126" s="10" t="s">
        <v>111</v>
      </c>
      <c r="D126" s="10" t="s">
        <v>112</v>
      </c>
      <c r="E126">
        <v>65610</v>
      </c>
      <c r="F126">
        <v>1948</v>
      </c>
      <c r="G126">
        <v>18827000</v>
      </c>
      <c r="H126">
        <v>71.8</v>
      </c>
      <c r="I126">
        <v>15706</v>
      </c>
      <c r="J126">
        <v>15091</v>
      </c>
      <c r="K126" s="10" t="s">
        <v>695</v>
      </c>
      <c r="L126" s="10" t="s">
        <v>121</v>
      </c>
      <c r="M126" s="10" t="s">
        <v>696</v>
      </c>
      <c r="N126">
        <v>3217</v>
      </c>
      <c r="O126" s="10" t="s">
        <v>697</v>
      </c>
    </row>
    <row r="127" spans="1:15" x14ac:dyDescent="0.3">
      <c r="A127" s="10" t="s">
        <v>698</v>
      </c>
      <c r="B127" s="10" t="s">
        <v>699</v>
      </c>
      <c r="C127" s="10" t="s">
        <v>119</v>
      </c>
      <c r="D127" s="10" t="s">
        <v>291</v>
      </c>
      <c r="E127">
        <v>30355</v>
      </c>
      <c r="F127">
        <v>1966</v>
      </c>
      <c r="G127">
        <v>2153000</v>
      </c>
      <c r="H127">
        <v>50.8</v>
      </c>
      <c r="I127">
        <v>1061</v>
      </c>
      <c r="J127">
        <v>1161</v>
      </c>
      <c r="K127" s="10" t="s">
        <v>699</v>
      </c>
      <c r="L127" s="10" t="s">
        <v>184</v>
      </c>
      <c r="M127" s="10" t="s">
        <v>700</v>
      </c>
      <c r="N127">
        <v>2437</v>
      </c>
      <c r="O127" s="10" t="s">
        <v>701</v>
      </c>
    </row>
    <row r="128" spans="1:15" x14ac:dyDescent="0.3">
      <c r="A128" s="10" t="s">
        <v>702</v>
      </c>
      <c r="B128" s="10" t="s">
        <v>703</v>
      </c>
      <c r="C128" s="10" t="s">
        <v>131</v>
      </c>
      <c r="D128" s="10" t="s">
        <v>441</v>
      </c>
      <c r="E128">
        <v>65301</v>
      </c>
      <c r="F128">
        <v>1991</v>
      </c>
      <c r="G128">
        <v>3698500</v>
      </c>
      <c r="H128">
        <v>69.099999999999994</v>
      </c>
      <c r="I128">
        <v>10692</v>
      </c>
      <c r="J128">
        <v>9585</v>
      </c>
      <c r="K128" s="10" t="s">
        <v>704</v>
      </c>
      <c r="L128" s="10" t="s">
        <v>121</v>
      </c>
      <c r="M128" s="10" t="s">
        <v>705</v>
      </c>
      <c r="N128">
        <v>2447</v>
      </c>
      <c r="O128" s="10" t="s">
        <v>706</v>
      </c>
    </row>
    <row r="129" spans="1:15" x14ac:dyDescent="0.3">
      <c r="A129" s="10" t="s">
        <v>707</v>
      </c>
      <c r="B129" s="10" t="s">
        <v>708</v>
      </c>
      <c r="C129" s="10" t="s">
        <v>131</v>
      </c>
      <c r="D129" s="10" t="s">
        <v>192</v>
      </c>
      <c r="E129">
        <v>2586</v>
      </c>
      <c r="F129">
        <v>1867</v>
      </c>
      <c r="G129">
        <v>435700</v>
      </c>
      <c r="H129">
        <v>77.099999999999994</v>
      </c>
      <c r="I129">
        <v>16321</v>
      </c>
      <c r="J129">
        <v>15519</v>
      </c>
      <c r="K129" s="10" t="s">
        <v>709</v>
      </c>
      <c r="L129" s="10" t="s">
        <v>184</v>
      </c>
      <c r="M129" s="10" t="s">
        <v>710</v>
      </c>
      <c r="N129">
        <v>2452</v>
      </c>
      <c r="O129" s="10" t="s">
        <v>711</v>
      </c>
    </row>
    <row r="130" spans="1:15" x14ac:dyDescent="0.3">
      <c r="A130" s="10" t="s">
        <v>712</v>
      </c>
      <c r="B130" s="10" t="s">
        <v>713</v>
      </c>
      <c r="C130" s="10" t="s">
        <v>131</v>
      </c>
      <c r="D130" s="10" t="s">
        <v>441</v>
      </c>
      <c r="E130">
        <v>64589</v>
      </c>
      <c r="F130">
        <v>1991</v>
      </c>
      <c r="G130">
        <v>2424200</v>
      </c>
      <c r="H130">
        <v>68.400000000000006</v>
      </c>
      <c r="I130">
        <v>6398</v>
      </c>
      <c r="J130">
        <v>5639</v>
      </c>
      <c r="K130" s="10" t="s">
        <v>714</v>
      </c>
      <c r="L130" s="10" t="s">
        <v>121</v>
      </c>
      <c r="M130" s="10" t="s">
        <v>715</v>
      </c>
      <c r="N130">
        <v>2434</v>
      </c>
      <c r="O130" s="10" t="s">
        <v>716</v>
      </c>
    </row>
    <row r="131" spans="1:15" x14ac:dyDescent="0.3">
      <c r="A131" s="10" t="s">
        <v>717</v>
      </c>
      <c r="B131" s="10" t="s">
        <v>718</v>
      </c>
      <c r="C131" s="10" t="s">
        <v>111</v>
      </c>
      <c r="D131" s="10" t="s">
        <v>317</v>
      </c>
      <c r="E131">
        <v>18</v>
      </c>
      <c r="G131">
        <v>477730</v>
      </c>
      <c r="H131">
        <v>81.599999999999994</v>
      </c>
      <c r="I131">
        <v>5749</v>
      </c>
      <c r="J131">
        <v>5940</v>
      </c>
      <c r="K131" s="10" t="s">
        <v>719</v>
      </c>
      <c r="L131" s="10" t="s">
        <v>551</v>
      </c>
      <c r="M131" s="10" t="s">
        <v>320</v>
      </c>
      <c r="N131">
        <v>2454</v>
      </c>
      <c r="O131" s="10" t="s">
        <v>720</v>
      </c>
    </row>
    <row r="132" spans="1:15" x14ac:dyDescent="0.3">
      <c r="A132" s="10" t="s">
        <v>721</v>
      </c>
      <c r="B132" s="10" t="s">
        <v>722</v>
      </c>
      <c r="C132" s="10" t="s">
        <v>119</v>
      </c>
      <c r="D132" s="10" t="s">
        <v>410</v>
      </c>
      <c r="E132">
        <v>446550</v>
      </c>
      <c r="F132">
        <v>1956</v>
      </c>
      <c r="G132">
        <v>28351000</v>
      </c>
      <c r="H132">
        <v>69.099999999999994</v>
      </c>
      <c r="I132">
        <v>36124</v>
      </c>
      <c r="J132">
        <v>33514</v>
      </c>
      <c r="K132" s="10" t="s">
        <v>723</v>
      </c>
      <c r="L132" s="10" t="s">
        <v>184</v>
      </c>
      <c r="M132" s="10" t="s">
        <v>724</v>
      </c>
      <c r="N132">
        <v>2486</v>
      </c>
      <c r="O132" s="10" t="s">
        <v>725</v>
      </c>
    </row>
    <row r="133" spans="1:15" x14ac:dyDescent="0.3">
      <c r="A133" s="10" t="s">
        <v>726</v>
      </c>
      <c r="B133" s="10" t="s">
        <v>727</v>
      </c>
      <c r="C133" s="10" t="s">
        <v>131</v>
      </c>
      <c r="D133" s="10" t="s">
        <v>192</v>
      </c>
      <c r="E133">
        <v>1.5</v>
      </c>
      <c r="F133">
        <v>1861</v>
      </c>
      <c r="G133">
        <v>34000</v>
      </c>
      <c r="H133">
        <v>78.8</v>
      </c>
      <c r="I133">
        <v>776</v>
      </c>
      <c r="K133" s="10" t="s">
        <v>727</v>
      </c>
      <c r="L133" s="10" t="s">
        <v>184</v>
      </c>
      <c r="M133" s="10" t="s">
        <v>728</v>
      </c>
      <c r="N133">
        <v>2695</v>
      </c>
      <c r="O133" s="10" t="s">
        <v>729</v>
      </c>
    </row>
    <row r="134" spans="1:15" x14ac:dyDescent="0.3">
      <c r="A134" s="10" t="s">
        <v>730</v>
      </c>
      <c r="B134" s="10" t="s">
        <v>731</v>
      </c>
      <c r="C134" s="10" t="s">
        <v>131</v>
      </c>
      <c r="D134" s="10" t="s">
        <v>228</v>
      </c>
      <c r="E134">
        <v>33851</v>
      </c>
      <c r="F134">
        <v>1991</v>
      </c>
      <c r="G134">
        <v>4380000</v>
      </c>
      <c r="H134">
        <v>64.5</v>
      </c>
      <c r="I134">
        <v>1579</v>
      </c>
      <c r="J134">
        <v>1872</v>
      </c>
      <c r="K134" s="10" t="s">
        <v>731</v>
      </c>
      <c r="L134" s="10" t="s">
        <v>121</v>
      </c>
      <c r="M134" s="10" t="s">
        <v>732</v>
      </c>
      <c r="N134">
        <v>2690</v>
      </c>
      <c r="O134" s="10" t="s">
        <v>733</v>
      </c>
    </row>
    <row r="135" spans="1:15" x14ac:dyDescent="0.3">
      <c r="A135" s="10" t="s">
        <v>734</v>
      </c>
      <c r="B135" s="10" t="s">
        <v>735</v>
      </c>
      <c r="C135" s="10" t="s">
        <v>119</v>
      </c>
      <c r="D135" s="10" t="s">
        <v>203</v>
      </c>
      <c r="E135">
        <v>587041</v>
      </c>
      <c r="F135">
        <v>1960</v>
      </c>
      <c r="G135">
        <v>15942000</v>
      </c>
      <c r="H135">
        <v>55</v>
      </c>
      <c r="I135">
        <v>3750</v>
      </c>
      <c r="J135">
        <v>3545</v>
      </c>
      <c r="K135" s="10" t="s">
        <v>736</v>
      </c>
      <c r="L135" s="10" t="s">
        <v>155</v>
      </c>
      <c r="M135" s="10" t="s">
        <v>737</v>
      </c>
      <c r="N135">
        <v>2455</v>
      </c>
      <c r="O135" s="10" t="s">
        <v>738</v>
      </c>
    </row>
    <row r="136" spans="1:15" x14ac:dyDescent="0.3">
      <c r="A136" s="10" t="s">
        <v>739</v>
      </c>
      <c r="B136" s="10" t="s">
        <v>740</v>
      </c>
      <c r="C136" s="10" t="s">
        <v>111</v>
      </c>
      <c r="D136" s="10" t="s">
        <v>112</v>
      </c>
      <c r="E136">
        <v>298</v>
      </c>
      <c r="F136">
        <v>1965</v>
      </c>
      <c r="G136">
        <v>288860</v>
      </c>
      <c r="H136">
        <v>62.2</v>
      </c>
      <c r="I136">
        <v>199</v>
      </c>
      <c r="K136" s="10" t="s">
        <v>741</v>
      </c>
      <c r="L136" s="10" t="s">
        <v>121</v>
      </c>
      <c r="M136" s="10" t="s">
        <v>742</v>
      </c>
      <c r="N136">
        <v>2463</v>
      </c>
      <c r="O136" s="10" t="s">
        <v>743</v>
      </c>
    </row>
    <row r="137" spans="1:15" x14ac:dyDescent="0.3">
      <c r="A137" s="10" t="s">
        <v>744</v>
      </c>
      <c r="B137" s="10" t="s">
        <v>745</v>
      </c>
      <c r="C137" s="10" t="s">
        <v>104</v>
      </c>
      <c r="D137" s="10" t="s">
        <v>253</v>
      </c>
      <c r="E137">
        <v>1958201</v>
      </c>
      <c r="F137">
        <v>1810</v>
      </c>
      <c r="G137">
        <v>98881000</v>
      </c>
      <c r="H137">
        <v>71.5</v>
      </c>
      <c r="I137">
        <v>414972</v>
      </c>
      <c r="J137">
        <v>401461</v>
      </c>
      <c r="K137" s="10" t="s">
        <v>746</v>
      </c>
      <c r="L137" s="10" t="s">
        <v>155</v>
      </c>
      <c r="M137" s="10" t="s">
        <v>747</v>
      </c>
      <c r="N137">
        <v>2515</v>
      </c>
      <c r="O137" s="10" t="s">
        <v>748</v>
      </c>
    </row>
    <row r="138" spans="1:15" x14ac:dyDescent="0.3">
      <c r="A138" s="10" t="s">
        <v>749</v>
      </c>
      <c r="B138" s="10" t="s">
        <v>750</v>
      </c>
      <c r="C138" s="10" t="s">
        <v>165</v>
      </c>
      <c r="D138" s="10" t="s">
        <v>473</v>
      </c>
      <c r="E138">
        <v>181</v>
      </c>
      <c r="F138">
        <v>1990</v>
      </c>
      <c r="G138">
        <v>64000</v>
      </c>
      <c r="H138">
        <v>65.5</v>
      </c>
      <c r="I138">
        <v>97</v>
      </c>
      <c r="K138" s="10" t="s">
        <v>751</v>
      </c>
      <c r="L138" s="10" t="s">
        <v>121</v>
      </c>
      <c r="M138" s="10" t="s">
        <v>752</v>
      </c>
      <c r="N138">
        <v>2507</v>
      </c>
      <c r="O138" s="10" t="s">
        <v>753</v>
      </c>
    </row>
    <row r="139" spans="1:15" x14ac:dyDescent="0.3">
      <c r="A139" s="10" t="s">
        <v>754</v>
      </c>
      <c r="B139" s="10" t="s">
        <v>755</v>
      </c>
      <c r="C139" s="10" t="s">
        <v>131</v>
      </c>
      <c r="D139" s="10" t="s">
        <v>132</v>
      </c>
      <c r="E139">
        <v>25713</v>
      </c>
      <c r="F139">
        <v>1991</v>
      </c>
      <c r="G139">
        <v>2024000</v>
      </c>
      <c r="H139">
        <v>73.8</v>
      </c>
      <c r="I139">
        <v>1694</v>
      </c>
      <c r="J139">
        <v>1915</v>
      </c>
      <c r="K139" s="10" t="s">
        <v>756</v>
      </c>
      <c r="L139" s="10" t="s">
        <v>121</v>
      </c>
      <c r="M139" s="10" t="s">
        <v>757</v>
      </c>
      <c r="N139">
        <v>2460</v>
      </c>
      <c r="O139" s="10" t="s">
        <v>758</v>
      </c>
    </row>
    <row r="140" spans="1:15" x14ac:dyDescent="0.3">
      <c r="A140" s="10" t="s">
        <v>759</v>
      </c>
      <c r="B140" s="10" t="s">
        <v>760</v>
      </c>
      <c r="C140" s="10" t="s">
        <v>119</v>
      </c>
      <c r="D140" s="10" t="s">
        <v>214</v>
      </c>
      <c r="E140">
        <v>1240192</v>
      </c>
      <c r="F140">
        <v>1960</v>
      </c>
      <c r="G140">
        <v>11234000</v>
      </c>
      <c r="H140">
        <v>46.7</v>
      </c>
      <c r="I140">
        <v>2642</v>
      </c>
      <c r="J140">
        <v>2453</v>
      </c>
      <c r="K140" s="10" t="s">
        <v>760</v>
      </c>
      <c r="L140" s="10" t="s">
        <v>121</v>
      </c>
      <c r="M140" s="10" t="s">
        <v>761</v>
      </c>
      <c r="N140">
        <v>2482</v>
      </c>
      <c r="O140" s="10" t="s">
        <v>762</v>
      </c>
    </row>
    <row r="141" spans="1:15" x14ac:dyDescent="0.3">
      <c r="A141" s="10" t="s">
        <v>763</v>
      </c>
      <c r="B141" s="10" t="s">
        <v>764</v>
      </c>
      <c r="C141" s="10" t="s">
        <v>131</v>
      </c>
      <c r="D141" s="10" t="s">
        <v>132</v>
      </c>
      <c r="E141">
        <v>316</v>
      </c>
      <c r="F141">
        <v>1964</v>
      </c>
      <c r="G141">
        <v>380200</v>
      </c>
      <c r="H141">
        <v>77.900000000000006</v>
      </c>
      <c r="I141">
        <v>3512</v>
      </c>
      <c r="J141">
        <v>3338</v>
      </c>
      <c r="K141" s="10" t="s">
        <v>764</v>
      </c>
      <c r="L141" s="10" t="s">
        <v>121</v>
      </c>
      <c r="M141" s="10" t="s">
        <v>765</v>
      </c>
      <c r="N141">
        <v>2484</v>
      </c>
      <c r="O141" s="10" t="s">
        <v>766</v>
      </c>
    </row>
    <row r="142" spans="1:15" x14ac:dyDescent="0.3">
      <c r="A142" s="10" t="s">
        <v>767</v>
      </c>
      <c r="B142" s="10" t="s">
        <v>768</v>
      </c>
      <c r="C142" s="10" t="s">
        <v>111</v>
      </c>
      <c r="D142" s="10" t="s">
        <v>272</v>
      </c>
      <c r="E142">
        <v>676578</v>
      </c>
      <c r="F142">
        <v>1948</v>
      </c>
      <c r="G142">
        <v>45611000</v>
      </c>
      <c r="H142">
        <v>54.9</v>
      </c>
      <c r="I142">
        <v>180375</v>
      </c>
      <c r="J142">
        <v>171028</v>
      </c>
      <c r="K142" s="10" t="s">
        <v>769</v>
      </c>
      <c r="L142" s="10" t="s">
        <v>121</v>
      </c>
      <c r="M142" s="10" t="s">
        <v>770</v>
      </c>
      <c r="N142">
        <v>2710</v>
      </c>
      <c r="O142" s="10" t="s">
        <v>771</v>
      </c>
    </row>
    <row r="143" spans="1:15" x14ac:dyDescent="0.3">
      <c r="A143" s="10" t="s">
        <v>772</v>
      </c>
      <c r="B143" s="10" t="s">
        <v>773</v>
      </c>
      <c r="C143" s="10" t="s">
        <v>111</v>
      </c>
      <c r="D143" s="10" t="s">
        <v>317</v>
      </c>
      <c r="E143">
        <v>1566500</v>
      </c>
      <c r="F143">
        <v>1921</v>
      </c>
      <c r="G143">
        <v>2662000</v>
      </c>
      <c r="H143">
        <v>67.3</v>
      </c>
      <c r="I143">
        <v>1043</v>
      </c>
      <c r="J143">
        <v>933</v>
      </c>
      <c r="K143" s="10" t="s">
        <v>774</v>
      </c>
      <c r="L143" s="10" t="s">
        <v>121</v>
      </c>
      <c r="M143" s="10" t="s">
        <v>775</v>
      </c>
      <c r="N143">
        <v>2696</v>
      </c>
      <c r="O143" s="10" t="s">
        <v>776</v>
      </c>
    </row>
    <row r="144" spans="1:15" x14ac:dyDescent="0.3">
      <c r="A144" s="10" t="s">
        <v>777</v>
      </c>
      <c r="B144" s="10" t="s">
        <v>778</v>
      </c>
      <c r="C144" s="10" t="s">
        <v>165</v>
      </c>
      <c r="D144" s="10" t="s">
        <v>473</v>
      </c>
      <c r="E144">
        <v>464</v>
      </c>
      <c r="G144">
        <v>78000</v>
      </c>
      <c r="H144">
        <v>75.5</v>
      </c>
      <c r="I144">
        <v>0</v>
      </c>
      <c r="K144" s="10" t="s">
        <v>778</v>
      </c>
      <c r="L144" s="10" t="s">
        <v>779</v>
      </c>
      <c r="M144" s="10" t="s">
        <v>169</v>
      </c>
      <c r="N144">
        <v>2913</v>
      </c>
      <c r="O144" s="10" t="s">
        <v>780</v>
      </c>
    </row>
    <row r="145" spans="1:15" x14ac:dyDescent="0.3">
      <c r="A145" s="10" t="s">
        <v>781</v>
      </c>
      <c r="B145" s="10" t="s">
        <v>782</v>
      </c>
      <c r="C145" s="10" t="s">
        <v>119</v>
      </c>
      <c r="D145" s="10" t="s">
        <v>203</v>
      </c>
      <c r="E145">
        <v>801590</v>
      </c>
      <c r="F145">
        <v>1975</v>
      </c>
      <c r="G145">
        <v>19680000</v>
      </c>
      <c r="H145">
        <v>37.5</v>
      </c>
      <c r="I145">
        <v>2891</v>
      </c>
      <c r="J145">
        <v>2711</v>
      </c>
      <c r="K145" s="10" t="s">
        <v>783</v>
      </c>
      <c r="L145" s="10" t="s">
        <v>121</v>
      </c>
      <c r="M145" s="10" t="s">
        <v>784</v>
      </c>
      <c r="N145">
        <v>2698</v>
      </c>
      <c r="O145" s="10" t="s">
        <v>785</v>
      </c>
    </row>
    <row r="146" spans="1:15" x14ac:dyDescent="0.3">
      <c r="A146" s="10" t="s">
        <v>786</v>
      </c>
      <c r="B146" s="10" t="s">
        <v>787</v>
      </c>
      <c r="C146" s="10" t="s">
        <v>119</v>
      </c>
      <c r="D146" s="10" t="s">
        <v>214</v>
      </c>
      <c r="E146">
        <v>1025520</v>
      </c>
      <c r="F146">
        <v>1960</v>
      </c>
      <c r="G146">
        <v>2670000</v>
      </c>
      <c r="H146">
        <v>50.8</v>
      </c>
      <c r="I146">
        <v>998</v>
      </c>
      <c r="J146">
        <v>1081</v>
      </c>
      <c r="K146" s="10" t="s">
        <v>788</v>
      </c>
      <c r="L146" s="10" t="s">
        <v>121</v>
      </c>
      <c r="M146" s="10" t="s">
        <v>789</v>
      </c>
      <c r="N146">
        <v>2509</v>
      </c>
      <c r="O146" s="10" t="s">
        <v>790</v>
      </c>
    </row>
    <row r="147" spans="1:15" x14ac:dyDescent="0.3">
      <c r="A147" s="10" t="s">
        <v>791</v>
      </c>
      <c r="B147" s="10" t="s">
        <v>792</v>
      </c>
      <c r="C147" s="10" t="s">
        <v>104</v>
      </c>
      <c r="D147" s="10" t="s">
        <v>105</v>
      </c>
      <c r="E147">
        <v>102</v>
      </c>
      <c r="G147">
        <v>11000</v>
      </c>
      <c r="H147">
        <v>78</v>
      </c>
      <c r="I147">
        <v>109</v>
      </c>
      <c r="K147" s="10" t="s">
        <v>792</v>
      </c>
      <c r="L147" s="10" t="s">
        <v>126</v>
      </c>
      <c r="M147" s="10" t="s">
        <v>127</v>
      </c>
      <c r="N147">
        <v>2697</v>
      </c>
      <c r="O147" s="10" t="s">
        <v>793</v>
      </c>
    </row>
    <row r="148" spans="1:15" x14ac:dyDescent="0.3">
      <c r="A148" s="10" t="s">
        <v>794</v>
      </c>
      <c r="B148" s="10" t="s">
        <v>795</v>
      </c>
      <c r="C148" s="10" t="s">
        <v>104</v>
      </c>
      <c r="D148" s="10" t="s">
        <v>105</v>
      </c>
      <c r="E148">
        <v>1102</v>
      </c>
      <c r="G148">
        <v>395000</v>
      </c>
      <c r="H148">
        <v>78.3</v>
      </c>
      <c r="I148">
        <v>2731</v>
      </c>
      <c r="J148">
        <v>2559</v>
      </c>
      <c r="K148" s="10" t="s">
        <v>795</v>
      </c>
      <c r="L148" s="10" t="s">
        <v>504</v>
      </c>
      <c r="M148" s="10" t="s">
        <v>180</v>
      </c>
      <c r="N148">
        <v>2508</v>
      </c>
      <c r="O148" s="10" t="s">
        <v>796</v>
      </c>
    </row>
    <row r="149" spans="1:15" x14ac:dyDescent="0.3">
      <c r="A149" s="10" t="s">
        <v>797</v>
      </c>
      <c r="B149" s="10" t="s">
        <v>798</v>
      </c>
      <c r="C149" s="10" t="s">
        <v>119</v>
      </c>
      <c r="D149" s="10" t="s">
        <v>203</v>
      </c>
      <c r="E149">
        <v>2040</v>
      </c>
      <c r="F149">
        <v>1968</v>
      </c>
      <c r="G149">
        <v>1158000</v>
      </c>
      <c r="H149">
        <v>71</v>
      </c>
      <c r="I149">
        <v>4251</v>
      </c>
      <c r="J149">
        <v>4186</v>
      </c>
      <c r="K149" s="10" t="s">
        <v>798</v>
      </c>
      <c r="L149" s="10" t="s">
        <v>121</v>
      </c>
      <c r="M149" s="10" t="s">
        <v>799</v>
      </c>
      <c r="N149">
        <v>2511</v>
      </c>
      <c r="O149" s="10" t="s">
        <v>800</v>
      </c>
    </row>
    <row r="150" spans="1:15" x14ac:dyDescent="0.3">
      <c r="A150" s="10" t="s">
        <v>801</v>
      </c>
      <c r="B150" s="10" t="s">
        <v>802</v>
      </c>
      <c r="C150" s="10" t="s">
        <v>119</v>
      </c>
      <c r="D150" s="10" t="s">
        <v>203</v>
      </c>
      <c r="E150">
        <v>118484</v>
      </c>
      <c r="F150">
        <v>1964</v>
      </c>
      <c r="G150">
        <v>10925000</v>
      </c>
      <c r="H150">
        <v>37.6</v>
      </c>
      <c r="I150">
        <v>1687</v>
      </c>
      <c r="J150">
        <v>2527</v>
      </c>
      <c r="K150" s="10" t="s">
        <v>802</v>
      </c>
      <c r="L150" s="10" t="s">
        <v>121</v>
      </c>
      <c r="M150" s="10" t="s">
        <v>803</v>
      </c>
      <c r="N150">
        <v>2462</v>
      </c>
      <c r="O150" s="10" t="s">
        <v>804</v>
      </c>
    </row>
    <row r="151" spans="1:15" x14ac:dyDescent="0.3">
      <c r="A151" s="10" t="s">
        <v>805</v>
      </c>
      <c r="B151" s="10" t="s">
        <v>806</v>
      </c>
      <c r="C151" s="10" t="s">
        <v>111</v>
      </c>
      <c r="D151" s="10" t="s">
        <v>272</v>
      </c>
      <c r="E151">
        <v>329758</v>
      </c>
      <c r="F151">
        <v>1957</v>
      </c>
      <c r="G151">
        <v>22244000</v>
      </c>
      <c r="H151">
        <v>70.8</v>
      </c>
      <c r="I151">
        <v>69213</v>
      </c>
      <c r="J151">
        <v>97884</v>
      </c>
      <c r="K151" s="10" t="s">
        <v>806</v>
      </c>
      <c r="L151" s="10" t="s">
        <v>188</v>
      </c>
      <c r="M151" s="10" t="s">
        <v>807</v>
      </c>
      <c r="N151">
        <v>2464</v>
      </c>
      <c r="O151" s="10" t="s">
        <v>808</v>
      </c>
    </row>
    <row r="152" spans="1:15" x14ac:dyDescent="0.3">
      <c r="A152" s="10" t="s">
        <v>809</v>
      </c>
      <c r="B152" s="10" t="s">
        <v>810</v>
      </c>
      <c r="C152" s="10" t="s">
        <v>119</v>
      </c>
      <c r="D152" s="10" t="s">
        <v>203</v>
      </c>
      <c r="E152">
        <v>373</v>
      </c>
      <c r="G152">
        <v>149000</v>
      </c>
      <c r="H152">
        <v>59.5</v>
      </c>
      <c r="I152">
        <v>0</v>
      </c>
      <c r="K152" s="10" t="s">
        <v>810</v>
      </c>
      <c r="L152" s="10" t="s">
        <v>811</v>
      </c>
      <c r="M152" s="10" t="s">
        <v>180</v>
      </c>
      <c r="N152">
        <v>2514</v>
      </c>
      <c r="O152" s="10" t="s">
        <v>812</v>
      </c>
    </row>
    <row r="153" spans="1:15" x14ac:dyDescent="0.3">
      <c r="A153" s="10" t="s">
        <v>813</v>
      </c>
      <c r="B153" s="10" t="s">
        <v>814</v>
      </c>
      <c r="C153" s="10" t="s">
        <v>119</v>
      </c>
      <c r="D153" s="10" t="s">
        <v>291</v>
      </c>
      <c r="E153">
        <v>824292</v>
      </c>
      <c r="F153">
        <v>1990</v>
      </c>
      <c r="G153">
        <v>1726000</v>
      </c>
      <c r="H153">
        <v>42.5</v>
      </c>
      <c r="I153">
        <v>3101</v>
      </c>
      <c r="J153">
        <v>3384</v>
      </c>
      <c r="K153" s="10" t="s">
        <v>814</v>
      </c>
      <c r="L153" s="10" t="s">
        <v>121</v>
      </c>
      <c r="M153" s="10" t="s">
        <v>815</v>
      </c>
      <c r="N153">
        <v>2726</v>
      </c>
      <c r="O153" s="10" t="s">
        <v>816</v>
      </c>
    </row>
    <row r="154" spans="1:15" x14ac:dyDescent="0.3">
      <c r="A154" s="10" t="s">
        <v>817</v>
      </c>
      <c r="B154" s="10" t="s">
        <v>818</v>
      </c>
      <c r="C154" s="10" t="s">
        <v>165</v>
      </c>
      <c r="D154" s="10" t="s">
        <v>457</v>
      </c>
      <c r="E154">
        <v>18575</v>
      </c>
      <c r="G154">
        <v>214000</v>
      </c>
      <c r="H154">
        <v>72.8</v>
      </c>
      <c r="I154">
        <v>3563</v>
      </c>
      <c r="K154" s="10" t="s">
        <v>819</v>
      </c>
      <c r="L154" s="10" t="s">
        <v>179</v>
      </c>
      <c r="M154" s="10" t="s">
        <v>180</v>
      </c>
      <c r="N154">
        <v>3493</v>
      </c>
      <c r="O154" s="10" t="s">
        <v>820</v>
      </c>
    </row>
    <row r="155" spans="1:15" x14ac:dyDescent="0.3">
      <c r="A155" s="10" t="s">
        <v>821</v>
      </c>
      <c r="B155" s="10" t="s">
        <v>822</v>
      </c>
      <c r="C155" s="10" t="s">
        <v>119</v>
      </c>
      <c r="D155" s="10" t="s">
        <v>214</v>
      </c>
      <c r="E155">
        <v>1267000</v>
      </c>
      <c r="F155">
        <v>1960</v>
      </c>
      <c r="G155">
        <v>10730000</v>
      </c>
      <c r="H155">
        <v>41.3</v>
      </c>
      <c r="I155">
        <v>1706</v>
      </c>
      <c r="J155">
        <v>1580</v>
      </c>
      <c r="K155" s="10" t="s">
        <v>822</v>
      </c>
      <c r="L155" s="10" t="s">
        <v>121</v>
      </c>
      <c r="M155" s="10" t="s">
        <v>823</v>
      </c>
      <c r="N155">
        <v>2738</v>
      </c>
      <c r="O155" s="10" t="s">
        <v>824</v>
      </c>
    </row>
    <row r="156" spans="1:15" x14ac:dyDescent="0.3">
      <c r="A156" s="10" t="s">
        <v>825</v>
      </c>
      <c r="B156" s="10" t="s">
        <v>826</v>
      </c>
      <c r="C156" s="10" t="s">
        <v>165</v>
      </c>
      <c r="D156" s="10" t="s">
        <v>187</v>
      </c>
      <c r="E156">
        <v>36</v>
      </c>
      <c r="G156">
        <v>2000</v>
      </c>
      <c r="I156">
        <v>0</v>
      </c>
      <c r="K156" s="10" t="s">
        <v>826</v>
      </c>
      <c r="L156" s="10" t="s">
        <v>303</v>
      </c>
      <c r="M156" s="10" t="s">
        <v>127</v>
      </c>
      <c r="N156">
        <v>2806</v>
      </c>
      <c r="O156" s="10" t="s">
        <v>827</v>
      </c>
    </row>
    <row r="157" spans="1:15" x14ac:dyDescent="0.3">
      <c r="A157" s="10" t="s">
        <v>828</v>
      </c>
      <c r="B157" s="10" t="s">
        <v>829</v>
      </c>
      <c r="C157" s="10" t="s">
        <v>119</v>
      </c>
      <c r="D157" s="10" t="s">
        <v>214</v>
      </c>
      <c r="E157">
        <v>923768</v>
      </c>
      <c r="F157">
        <v>1960</v>
      </c>
      <c r="G157">
        <v>111506000</v>
      </c>
      <c r="H157">
        <v>51.6</v>
      </c>
      <c r="I157">
        <v>65707</v>
      </c>
      <c r="J157">
        <v>58623</v>
      </c>
      <c r="K157" s="10" t="s">
        <v>829</v>
      </c>
      <c r="L157" s="10" t="s">
        <v>155</v>
      </c>
      <c r="M157" s="10" t="s">
        <v>830</v>
      </c>
      <c r="N157">
        <v>2754</v>
      </c>
      <c r="O157" s="10" t="s">
        <v>831</v>
      </c>
    </row>
    <row r="158" spans="1:15" x14ac:dyDescent="0.3">
      <c r="A158" s="10" t="s">
        <v>832</v>
      </c>
      <c r="B158" s="10" t="s">
        <v>833</v>
      </c>
      <c r="C158" s="10" t="s">
        <v>104</v>
      </c>
      <c r="D158" s="10" t="s">
        <v>253</v>
      </c>
      <c r="E158">
        <v>130000</v>
      </c>
      <c r="F158">
        <v>1838</v>
      </c>
      <c r="G158">
        <v>5074000</v>
      </c>
      <c r="H158">
        <v>68.7</v>
      </c>
      <c r="I158">
        <v>1988</v>
      </c>
      <c r="J158">
        <v>2023</v>
      </c>
      <c r="K158" s="10" t="s">
        <v>833</v>
      </c>
      <c r="L158" s="10" t="s">
        <v>121</v>
      </c>
      <c r="M158" s="10" t="s">
        <v>834</v>
      </c>
      <c r="N158">
        <v>2734</v>
      </c>
      <c r="O158" s="10" t="s">
        <v>835</v>
      </c>
    </row>
    <row r="159" spans="1:15" x14ac:dyDescent="0.3">
      <c r="A159" s="10" t="s">
        <v>836</v>
      </c>
      <c r="B159" s="10" t="s">
        <v>837</v>
      </c>
      <c r="C159" s="10" t="s">
        <v>165</v>
      </c>
      <c r="D159" s="10" t="s">
        <v>166</v>
      </c>
      <c r="E159">
        <v>260</v>
      </c>
      <c r="G159">
        <v>2000</v>
      </c>
      <c r="I159">
        <v>0</v>
      </c>
      <c r="K159" s="10" t="s">
        <v>837</v>
      </c>
      <c r="L159" s="10" t="s">
        <v>343</v>
      </c>
      <c r="M159" s="10" t="s">
        <v>127</v>
      </c>
      <c r="N159">
        <v>2805</v>
      </c>
      <c r="O159" s="10" t="s">
        <v>838</v>
      </c>
    </row>
    <row r="160" spans="1:15" x14ac:dyDescent="0.3">
      <c r="A160" s="10" t="s">
        <v>839</v>
      </c>
      <c r="B160" s="10" t="s">
        <v>840</v>
      </c>
      <c r="C160" s="10" t="s">
        <v>131</v>
      </c>
      <c r="D160" s="10" t="s">
        <v>192</v>
      </c>
      <c r="E160">
        <v>41526</v>
      </c>
      <c r="F160">
        <v>1581</v>
      </c>
      <c r="G160">
        <v>15864000</v>
      </c>
      <c r="H160">
        <v>78.3</v>
      </c>
      <c r="I160">
        <v>371362</v>
      </c>
      <c r="J160">
        <v>360478</v>
      </c>
      <c r="K160" s="10" t="s">
        <v>841</v>
      </c>
      <c r="L160" s="10" t="s">
        <v>184</v>
      </c>
      <c r="M160" s="10" t="s">
        <v>107</v>
      </c>
      <c r="N160">
        <v>5</v>
      </c>
      <c r="O160" s="10" t="s">
        <v>842</v>
      </c>
    </row>
    <row r="161" spans="1:15" x14ac:dyDescent="0.3">
      <c r="A161" s="10" t="s">
        <v>843</v>
      </c>
      <c r="B161" s="10" t="s">
        <v>844</v>
      </c>
      <c r="C161" s="10" t="s">
        <v>131</v>
      </c>
      <c r="D161" s="10" t="s">
        <v>399</v>
      </c>
      <c r="E161">
        <v>323877</v>
      </c>
      <c r="F161">
        <v>1905</v>
      </c>
      <c r="G161">
        <v>4478500</v>
      </c>
      <c r="H161">
        <v>78.7</v>
      </c>
      <c r="I161">
        <v>145895</v>
      </c>
      <c r="J161">
        <v>153370</v>
      </c>
      <c r="K161" s="10" t="s">
        <v>845</v>
      </c>
      <c r="L161" s="10" t="s">
        <v>184</v>
      </c>
      <c r="M161" s="10" t="s">
        <v>287</v>
      </c>
      <c r="N161">
        <v>2807</v>
      </c>
      <c r="O161" s="10" t="s">
        <v>846</v>
      </c>
    </row>
    <row r="162" spans="1:15" x14ac:dyDescent="0.3">
      <c r="A162" s="10" t="s">
        <v>847</v>
      </c>
      <c r="B162" s="10" t="s">
        <v>848</v>
      </c>
      <c r="C162" s="10" t="s">
        <v>111</v>
      </c>
      <c r="D162" s="10" t="s">
        <v>112</v>
      </c>
      <c r="E162">
        <v>147181</v>
      </c>
      <c r="F162">
        <v>1769</v>
      </c>
      <c r="G162">
        <v>23930000</v>
      </c>
      <c r="H162">
        <v>57.8</v>
      </c>
      <c r="I162">
        <v>4768</v>
      </c>
      <c r="J162">
        <v>4837</v>
      </c>
      <c r="K162" s="10" t="s">
        <v>848</v>
      </c>
      <c r="L162" s="10" t="s">
        <v>184</v>
      </c>
      <c r="M162" s="10" t="s">
        <v>849</v>
      </c>
      <c r="N162">
        <v>2729</v>
      </c>
      <c r="O162" s="10" t="s">
        <v>850</v>
      </c>
    </row>
    <row r="163" spans="1:15" x14ac:dyDescent="0.3">
      <c r="A163" s="10" t="s">
        <v>851</v>
      </c>
      <c r="B163" s="10" t="s">
        <v>852</v>
      </c>
      <c r="C163" s="10" t="s">
        <v>165</v>
      </c>
      <c r="D163" s="10" t="s">
        <v>473</v>
      </c>
      <c r="E163">
        <v>21</v>
      </c>
      <c r="F163">
        <v>1968</v>
      </c>
      <c r="G163">
        <v>12000</v>
      </c>
      <c r="H163">
        <v>60.8</v>
      </c>
      <c r="I163">
        <v>197</v>
      </c>
      <c r="K163" s="10" t="s">
        <v>853</v>
      </c>
      <c r="L163" s="10" t="s">
        <v>121</v>
      </c>
      <c r="M163" s="10" t="s">
        <v>854</v>
      </c>
      <c r="N163">
        <v>2728</v>
      </c>
      <c r="O163" s="10" t="s">
        <v>855</v>
      </c>
    </row>
    <row r="164" spans="1:15" x14ac:dyDescent="0.3">
      <c r="A164" s="10" t="s">
        <v>856</v>
      </c>
      <c r="B164" s="10" t="s">
        <v>857</v>
      </c>
      <c r="C164" s="10" t="s">
        <v>165</v>
      </c>
      <c r="D164" s="10" t="s">
        <v>187</v>
      </c>
      <c r="E164">
        <v>270534</v>
      </c>
      <c r="F164">
        <v>1907</v>
      </c>
      <c r="G164">
        <v>3862000</v>
      </c>
      <c r="H164">
        <v>77.8</v>
      </c>
      <c r="I164">
        <v>54669</v>
      </c>
      <c r="J164">
        <v>64960</v>
      </c>
      <c r="K164" s="10" t="s">
        <v>858</v>
      </c>
      <c r="L164" s="10" t="s">
        <v>184</v>
      </c>
      <c r="M164" s="10" t="s">
        <v>127</v>
      </c>
      <c r="N164">
        <v>3499</v>
      </c>
      <c r="O164" s="10" t="s">
        <v>859</v>
      </c>
    </row>
    <row r="165" spans="1:15" x14ac:dyDescent="0.3">
      <c r="A165" s="10" t="s">
        <v>860</v>
      </c>
      <c r="B165" s="10" t="s">
        <v>861</v>
      </c>
      <c r="C165" s="10" t="s">
        <v>111</v>
      </c>
      <c r="D165" s="10" t="s">
        <v>147</v>
      </c>
      <c r="E165">
        <v>309500</v>
      </c>
      <c r="F165">
        <v>1951</v>
      </c>
      <c r="G165">
        <v>2542000</v>
      </c>
      <c r="H165">
        <v>71.8</v>
      </c>
      <c r="I165">
        <v>16904</v>
      </c>
      <c r="J165">
        <v>16153</v>
      </c>
      <c r="K165" s="10" t="s">
        <v>862</v>
      </c>
      <c r="L165" s="10" t="s">
        <v>274</v>
      </c>
      <c r="M165" s="10" t="s">
        <v>863</v>
      </c>
      <c r="N165">
        <v>2821</v>
      </c>
      <c r="O165" s="10" t="s">
        <v>864</v>
      </c>
    </row>
    <row r="166" spans="1:15" x14ac:dyDescent="0.3">
      <c r="A166" s="10" t="s">
        <v>865</v>
      </c>
      <c r="B166" s="10" t="s">
        <v>866</v>
      </c>
      <c r="C166" s="10" t="s">
        <v>111</v>
      </c>
      <c r="D166" s="10" t="s">
        <v>112</v>
      </c>
      <c r="E166">
        <v>796095</v>
      </c>
      <c r="F166">
        <v>1947</v>
      </c>
      <c r="G166">
        <v>156483000</v>
      </c>
      <c r="H166">
        <v>61.1</v>
      </c>
      <c r="I166">
        <v>61289</v>
      </c>
      <c r="J166">
        <v>58549</v>
      </c>
      <c r="K166" s="10" t="s">
        <v>866</v>
      </c>
      <c r="L166" s="10" t="s">
        <v>121</v>
      </c>
      <c r="M166" s="10" t="s">
        <v>867</v>
      </c>
      <c r="N166">
        <v>2831</v>
      </c>
      <c r="O166" s="10" t="s">
        <v>868</v>
      </c>
    </row>
    <row r="167" spans="1:15" x14ac:dyDescent="0.3">
      <c r="A167" s="10" t="s">
        <v>869</v>
      </c>
      <c r="B167" s="10" t="s">
        <v>870</v>
      </c>
      <c r="C167" s="10" t="s">
        <v>104</v>
      </c>
      <c r="D167" s="10" t="s">
        <v>253</v>
      </c>
      <c r="E167">
        <v>75517</v>
      </c>
      <c r="F167">
        <v>1903</v>
      </c>
      <c r="G167">
        <v>2856000</v>
      </c>
      <c r="H167">
        <v>75.5</v>
      </c>
      <c r="I167">
        <v>9131</v>
      </c>
      <c r="J167">
        <v>8700</v>
      </c>
      <c r="K167" s="10" t="s">
        <v>871</v>
      </c>
      <c r="L167" s="10" t="s">
        <v>121</v>
      </c>
      <c r="M167" s="10" t="s">
        <v>872</v>
      </c>
      <c r="N167">
        <v>2882</v>
      </c>
      <c r="O167" s="10" t="s">
        <v>873</v>
      </c>
    </row>
    <row r="168" spans="1:15" x14ac:dyDescent="0.3">
      <c r="A168" s="10" t="s">
        <v>874</v>
      </c>
      <c r="B168" s="10" t="s">
        <v>875</v>
      </c>
      <c r="C168" s="10" t="s">
        <v>165</v>
      </c>
      <c r="D168" s="10" t="s">
        <v>166</v>
      </c>
      <c r="E168">
        <v>49</v>
      </c>
      <c r="G168">
        <v>50</v>
      </c>
      <c r="I168">
        <v>0</v>
      </c>
      <c r="K168" s="10" t="s">
        <v>875</v>
      </c>
      <c r="L168" s="10" t="s">
        <v>126</v>
      </c>
      <c r="M168" s="10" t="s">
        <v>127</v>
      </c>
      <c r="N168">
        <v>2912</v>
      </c>
      <c r="O168" s="10" t="s">
        <v>876</v>
      </c>
    </row>
    <row r="169" spans="1:15" x14ac:dyDescent="0.3">
      <c r="A169" s="10" t="s">
        <v>877</v>
      </c>
      <c r="B169" s="10" t="s">
        <v>878</v>
      </c>
      <c r="C169" s="10" t="s">
        <v>154</v>
      </c>
      <c r="D169" s="10" t="s">
        <v>154</v>
      </c>
      <c r="E169">
        <v>1285216</v>
      </c>
      <c r="F169">
        <v>1821</v>
      </c>
      <c r="G169">
        <v>25662000</v>
      </c>
      <c r="H169">
        <v>70</v>
      </c>
      <c r="I169">
        <v>64140</v>
      </c>
      <c r="J169">
        <v>65186</v>
      </c>
      <c r="K169" s="10" t="s">
        <v>879</v>
      </c>
      <c r="L169" s="10" t="s">
        <v>121</v>
      </c>
      <c r="M169" s="10" t="s">
        <v>880</v>
      </c>
      <c r="N169">
        <v>2890</v>
      </c>
      <c r="O169" s="10" t="s">
        <v>881</v>
      </c>
    </row>
    <row r="170" spans="1:15" x14ac:dyDescent="0.3">
      <c r="A170" s="10" t="s">
        <v>882</v>
      </c>
      <c r="B170" s="10" t="s">
        <v>883</v>
      </c>
      <c r="C170" s="10" t="s">
        <v>111</v>
      </c>
      <c r="D170" s="10" t="s">
        <v>272</v>
      </c>
      <c r="E170">
        <v>300000</v>
      </c>
      <c r="F170">
        <v>1946</v>
      </c>
      <c r="G170">
        <v>75967000</v>
      </c>
      <c r="H170">
        <v>67.5</v>
      </c>
      <c r="I170">
        <v>65107</v>
      </c>
      <c r="J170">
        <v>82239</v>
      </c>
      <c r="K170" s="10" t="s">
        <v>884</v>
      </c>
      <c r="L170" s="10" t="s">
        <v>121</v>
      </c>
      <c r="M170" s="10" t="s">
        <v>885</v>
      </c>
      <c r="N170">
        <v>766</v>
      </c>
      <c r="O170" s="10" t="s">
        <v>886</v>
      </c>
    </row>
    <row r="171" spans="1:15" x14ac:dyDescent="0.3">
      <c r="A171" s="10" t="s">
        <v>887</v>
      </c>
      <c r="B171" s="10" t="s">
        <v>888</v>
      </c>
      <c r="C171" s="10" t="s">
        <v>165</v>
      </c>
      <c r="D171" s="10" t="s">
        <v>473</v>
      </c>
      <c r="E171">
        <v>459</v>
      </c>
      <c r="F171">
        <v>1994</v>
      </c>
      <c r="G171">
        <v>19000</v>
      </c>
      <c r="H171">
        <v>68.599999999999994</v>
      </c>
      <c r="I171">
        <v>105</v>
      </c>
      <c r="K171" s="10" t="s">
        <v>889</v>
      </c>
      <c r="L171" s="10" t="s">
        <v>121</v>
      </c>
      <c r="M171" s="10" t="s">
        <v>890</v>
      </c>
      <c r="N171">
        <v>2881</v>
      </c>
      <c r="O171" s="10" t="s">
        <v>891</v>
      </c>
    </row>
    <row r="172" spans="1:15" x14ac:dyDescent="0.3">
      <c r="A172" s="10" t="s">
        <v>892</v>
      </c>
      <c r="B172" s="10" t="s">
        <v>893</v>
      </c>
      <c r="C172" s="10" t="s">
        <v>165</v>
      </c>
      <c r="D172" s="10" t="s">
        <v>457</v>
      </c>
      <c r="E172">
        <v>462840</v>
      </c>
      <c r="F172">
        <v>1975</v>
      </c>
      <c r="G172">
        <v>4807000</v>
      </c>
      <c r="H172">
        <v>63.1</v>
      </c>
      <c r="I172">
        <v>4988</v>
      </c>
      <c r="J172">
        <v>6328</v>
      </c>
      <c r="K172" s="10" t="s">
        <v>894</v>
      </c>
      <c r="L172" s="10" t="s">
        <v>184</v>
      </c>
      <c r="M172" s="10" t="s">
        <v>127</v>
      </c>
      <c r="N172">
        <v>2884</v>
      </c>
      <c r="O172" s="10" t="s">
        <v>895</v>
      </c>
    </row>
    <row r="173" spans="1:15" x14ac:dyDescent="0.3">
      <c r="A173" s="10" t="s">
        <v>896</v>
      </c>
      <c r="B173" s="10" t="s">
        <v>897</v>
      </c>
      <c r="C173" s="10" t="s">
        <v>131</v>
      </c>
      <c r="D173" s="10" t="s">
        <v>228</v>
      </c>
      <c r="E173">
        <v>323250</v>
      </c>
      <c r="F173">
        <v>1918</v>
      </c>
      <c r="G173">
        <v>38653600</v>
      </c>
      <c r="H173">
        <v>73.2</v>
      </c>
      <c r="I173">
        <v>151697</v>
      </c>
      <c r="J173">
        <v>135636</v>
      </c>
      <c r="K173" s="10" t="s">
        <v>898</v>
      </c>
      <c r="L173" s="10" t="s">
        <v>121</v>
      </c>
      <c r="M173" s="10" t="s">
        <v>899</v>
      </c>
      <c r="N173">
        <v>2928</v>
      </c>
      <c r="O173" s="10" t="s">
        <v>900</v>
      </c>
    </row>
    <row r="174" spans="1:15" x14ac:dyDescent="0.3">
      <c r="A174" s="10" t="s">
        <v>901</v>
      </c>
      <c r="B174" s="10" t="s">
        <v>902</v>
      </c>
      <c r="C174" s="10" t="s">
        <v>104</v>
      </c>
      <c r="D174" s="10" t="s">
        <v>105</v>
      </c>
      <c r="E174">
        <v>8875</v>
      </c>
      <c r="G174">
        <v>3869000</v>
      </c>
      <c r="H174">
        <v>75.599999999999994</v>
      </c>
      <c r="I174">
        <v>34100</v>
      </c>
      <c r="J174">
        <v>32100</v>
      </c>
      <c r="K174" s="10" t="s">
        <v>902</v>
      </c>
      <c r="L174" s="10" t="s">
        <v>779</v>
      </c>
      <c r="M174" s="10" t="s">
        <v>169</v>
      </c>
      <c r="N174">
        <v>2919</v>
      </c>
      <c r="O174" s="10" t="s">
        <v>903</v>
      </c>
    </row>
    <row r="175" spans="1:15" x14ac:dyDescent="0.3">
      <c r="A175" s="10" t="s">
        <v>904</v>
      </c>
      <c r="B175" s="10" t="s">
        <v>905</v>
      </c>
      <c r="C175" s="10" t="s">
        <v>111</v>
      </c>
      <c r="D175" s="10" t="s">
        <v>317</v>
      </c>
      <c r="E175">
        <v>120538</v>
      </c>
      <c r="F175">
        <v>1948</v>
      </c>
      <c r="G175">
        <v>24039000</v>
      </c>
      <c r="H175">
        <v>70.7</v>
      </c>
      <c r="I175">
        <v>5332</v>
      </c>
      <c r="K175" s="10" t="s">
        <v>906</v>
      </c>
      <c r="L175" s="10" t="s">
        <v>365</v>
      </c>
      <c r="M175" s="10" t="s">
        <v>907</v>
      </c>
      <c r="N175">
        <v>2318</v>
      </c>
      <c r="O175" s="10" t="s">
        <v>908</v>
      </c>
    </row>
    <row r="176" spans="1:15" x14ac:dyDescent="0.3">
      <c r="A176" s="10" t="s">
        <v>909</v>
      </c>
      <c r="B176" s="10" t="s">
        <v>910</v>
      </c>
      <c r="C176" s="10" t="s">
        <v>131</v>
      </c>
      <c r="D176" s="10" t="s">
        <v>132</v>
      </c>
      <c r="E176">
        <v>91982</v>
      </c>
      <c r="F176">
        <v>1143</v>
      </c>
      <c r="G176">
        <v>9997600</v>
      </c>
      <c r="H176">
        <v>75.8</v>
      </c>
      <c r="I176">
        <v>105954</v>
      </c>
      <c r="J176">
        <v>102133</v>
      </c>
      <c r="K176" s="10" t="s">
        <v>910</v>
      </c>
      <c r="L176" s="10" t="s">
        <v>121</v>
      </c>
      <c r="M176" s="10" t="s">
        <v>911</v>
      </c>
      <c r="N176">
        <v>2914</v>
      </c>
      <c r="O176" s="10" t="s">
        <v>912</v>
      </c>
    </row>
    <row r="177" spans="1:15" x14ac:dyDescent="0.3">
      <c r="A177" s="10" t="s">
        <v>913</v>
      </c>
      <c r="B177" s="10" t="s">
        <v>914</v>
      </c>
      <c r="C177" s="10" t="s">
        <v>154</v>
      </c>
      <c r="D177" s="10" t="s">
        <v>154</v>
      </c>
      <c r="E177">
        <v>406752</v>
      </c>
      <c r="F177">
        <v>1811</v>
      </c>
      <c r="G177">
        <v>5496000</v>
      </c>
      <c r="H177">
        <v>73.7</v>
      </c>
      <c r="I177">
        <v>8444</v>
      </c>
      <c r="J177">
        <v>9555</v>
      </c>
      <c r="K177" s="10" t="s">
        <v>914</v>
      </c>
      <c r="L177" s="10" t="s">
        <v>121</v>
      </c>
      <c r="M177" s="10" t="s">
        <v>915</v>
      </c>
      <c r="N177">
        <v>2885</v>
      </c>
      <c r="O177" s="10" t="s">
        <v>916</v>
      </c>
    </row>
    <row r="178" spans="1:15" x14ac:dyDescent="0.3">
      <c r="A178" s="10" t="s">
        <v>917</v>
      </c>
      <c r="B178" s="10" t="s">
        <v>918</v>
      </c>
      <c r="C178" s="10" t="s">
        <v>111</v>
      </c>
      <c r="D178" s="10" t="s">
        <v>147</v>
      </c>
      <c r="E178">
        <v>6257</v>
      </c>
      <c r="G178">
        <v>3101000</v>
      </c>
      <c r="H178">
        <v>71.400000000000006</v>
      </c>
      <c r="I178">
        <v>4173</v>
      </c>
      <c r="K178" s="10" t="s">
        <v>919</v>
      </c>
      <c r="L178" s="10" t="s">
        <v>920</v>
      </c>
      <c r="M178" s="10" t="s">
        <v>921</v>
      </c>
      <c r="N178">
        <v>4074</v>
      </c>
      <c r="O178" s="10" t="s">
        <v>922</v>
      </c>
    </row>
    <row r="179" spans="1:15" x14ac:dyDescent="0.3">
      <c r="A179" s="10" t="s">
        <v>923</v>
      </c>
      <c r="B179" s="10" t="s">
        <v>924</v>
      </c>
      <c r="C179" s="10" t="s">
        <v>165</v>
      </c>
      <c r="D179" s="10" t="s">
        <v>166</v>
      </c>
      <c r="E179">
        <v>4000</v>
      </c>
      <c r="G179">
        <v>235000</v>
      </c>
      <c r="H179">
        <v>74.8</v>
      </c>
      <c r="I179">
        <v>818</v>
      </c>
      <c r="J179">
        <v>781</v>
      </c>
      <c r="K179" s="10" t="s">
        <v>925</v>
      </c>
      <c r="L179" s="10" t="s">
        <v>179</v>
      </c>
      <c r="M179" s="10" t="s">
        <v>180</v>
      </c>
      <c r="N179">
        <v>3016</v>
      </c>
      <c r="O179" s="10" t="s">
        <v>926</v>
      </c>
    </row>
    <row r="180" spans="1:15" x14ac:dyDescent="0.3">
      <c r="A180" s="10" t="s">
        <v>927</v>
      </c>
      <c r="B180" s="10" t="s">
        <v>928</v>
      </c>
      <c r="C180" s="10" t="s">
        <v>111</v>
      </c>
      <c r="D180" s="10" t="s">
        <v>147</v>
      </c>
      <c r="E180">
        <v>11000</v>
      </c>
      <c r="F180">
        <v>1971</v>
      </c>
      <c r="G180">
        <v>604990</v>
      </c>
      <c r="H180">
        <v>72.400000000000006</v>
      </c>
      <c r="I180">
        <v>9472</v>
      </c>
      <c r="J180">
        <v>8920</v>
      </c>
      <c r="K180" s="10" t="s">
        <v>928</v>
      </c>
      <c r="L180" s="10" t="s">
        <v>280</v>
      </c>
      <c r="M180" s="10" t="s">
        <v>929</v>
      </c>
      <c r="N180">
        <v>2973</v>
      </c>
      <c r="O180" s="10" t="s">
        <v>930</v>
      </c>
    </row>
    <row r="181" spans="1:15" x14ac:dyDescent="0.3">
      <c r="A181" s="10" t="s">
        <v>931</v>
      </c>
      <c r="B181" s="10" t="s">
        <v>932</v>
      </c>
      <c r="C181" s="10" t="s">
        <v>119</v>
      </c>
      <c r="D181" s="10" t="s">
        <v>203</v>
      </c>
      <c r="E181">
        <v>2510</v>
      </c>
      <c r="G181">
        <v>699000</v>
      </c>
      <c r="H181">
        <v>72.7</v>
      </c>
      <c r="I181">
        <v>8287</v>
      </c>
      <c r="J181">
        <v>7988</v>
      </c>
      <c r="K181" s="10" t="s">
        <v>932</v>
      </c>
      <c r="L181" s="10" t="s">
        <v>504</v>
      </c>
      <c r="M181" s="10" t="s">
        <v>180</v>
      </c>
      <c r="N181">
        <v>3017</v>
      </c>
      <c r="O181" s="10" t="s">
        <v>933</v>
      </c>
    </row>
    <row r="182" spans="1:15" x14ac:dyDescent="0.3">
      <c r="A182" s="10" t="s">
        <v>934</v>
      </c>
      <c r="B182" s="10" t="s">
        <v>935</v>
      </c>
      <c r="C182" s="10" t="s">
        <v>131</v>
      </c>
      <c r="D182" s="10" t="s">
        <v>228</v>
      </c>
      <c r="E182">
        <v>238391</v>
      </c>
      <c r="F182">
        <v>1878</v>
      </c>
      <c r="G182">
        <v>22455500</v>
      </c>
      <c r="H182">
        <v>69.900000000000006</v>
      </c>
      <c r="I182">
        <v>38158</v>
      </c>
      <c r="J182">
        <v>34843</v>
      </c>
      <c r="K182" s="10" t="s">
        <v>936</v>
      </c>
      <c r="L182" s="10" t="s">
        <v>121</v>
      </c>
      <c r="M182" s="10" t="s">
        <v>937</v>
      </c>
      <c r="N182">
        <v>3018</v>
      </c>
      <c r="O182" s="10" t="s">
        <v>938</v>
      </c>
    </row>
    <row r="183" spans="1:15" x14ac:dyDescent="0.3">
      <c r="A183" s="10" t="s">
        <v>939</v>
      </c>
      <c r="B183" s="10" t="s">
        <v>940</v>
      </c>
      <c r="C183" s="10" t="s">
        <v>131</v>
      </c>
      <c r="D183" s="10" t="s">
        <v>228</v>
      </c>
      <c r="E183">
        <v>17075400</v>
      </c>
      <c r="F183">
        <v>1991</v>
      </c>
      <c r="G183">
        <v>146934000</v>
      </c>
      <c r="H183">
        <v>67.2</v>
      </c>
      <c r="I183">
        <v>276608</v>
      </c>
      <c r="J183">
        <v>442989</v>
      </c>
      <c r="K183" s="10" t="s">
        <v>941</v>
      </c>
      <c r="L183" s="10" t="s">
        <v>155</v>
      </c>
      <c r="M183" s="10" t="s">
        <v>942</v>
      </c>
      <c r="N183">
        <v>3580</v>
      </c>
      <c r="O183" s="10" t="s">
        <v>943</v>
      </c>
    </row>
    <row r="184" spans="1:15" x14ac:dyDescent="0.3">
      <c r="A184" s="10" t="s">
        <v>944</v>
      </c>
      <c r="B184" s="10" t="s">
        <v>945</v>
      </c>
      <c r="C184" s="10" t="s">
        <v>119</v>
      </c>
      <c r="D184" s="10" t="s">
        <v>203</v>
      </c>
      <c r="E184">
        <v>26338</v>
      </c>
      <c r="F184">
        <v>1962</v>
      </c>
      <c r="G184">
        <v>7733000</v>
      </c>
      <c r="H184">
        <v>39.299999999999997</v>
      </c>
      <c r="I184">
        <v>2036</v>
      </c>
      <c r="J184">
        <v>1863</v>
      </c>
      <c r="K184" s="10" t="s">
        <v>946</v>
      </c>
      <c r="L184" s="10" t="s">
        <v>121</v>
      </c>
      <c r="M184" s="10" t="s">
        <v>947</v>
      </c>
      <c r="N184">
        <v>3047</v>
      </c>
      <c r="O184" s="10" t="s">
        <v>948</v>
      </c>
    </row>
    <row r="185" spans="1:15" x14ac:dyDescent="0.3">
      <c r="A185" s="10" t="s">
        <v>949</v>
      </c>
      <c r="B185" s="10" t="s">
        <v>950</v>
      </c>
      <c r="C185" s="10" t="s">
        <v>111</v>
      </c>
      <c r="D185" s="10" t="s">
        <v>147</v>
      </c>
      <c r="E185">
        <v>2149690</v>
      </c>
      <c r="F185">
        <v>1932</v>
      </c>
      <c r="G185">
        <v>21607000</v>
      </c>
      <c r="H185">
        <v>67.8</v>
      </c>
      <c r="I185">
        <v>137635</v>
      </c>
      <c r="J185">
        <v>146171</v>
      </c>
      <c r="K185" s="10" t="s">
        <v>951</v>
      </c>
      <c r="L185" s="10" t="s">
        <v>280</v>
      </c>
      <c r="M185" s="10" t="s">
        <v>952</v>
      </c>
      <c r="N185">
        <v>3173</v>
      </c>
      <c r="O185" s="10" t="s">
        <v>953</v>
      </c>
    </row>
    <row r="186" spans="1:15" x14ac:dyDescent="0.3">
      <c r="A186" s="10" t="s">
        <v>954</v>
      </c>
      <c r="B186" s="10" t="s">
        <v>955</v>
      </c>
      <c r="C186" s="10" t="s">
        <v>119</v>
      </c>
      <c r="D186" s="10" t="s">
        <v>410</v>
      </c>
      <c r="E186">
        <v>2505813</v>
      </c>
      <c r="F186">
        <v>1956</v>
      </c>
      <c r="G186">
        <v>29490000</v>
      </c>
      <c r="H186">
        <v>56.6</v>
      </c>
      <c r="I186">
        <v>10162</v>
      </c>
      <c r="K186" s="10" t="s">
        <v>956</v>
      </c>
      <c r="L186" s="10" t="s">
        <v>595</v>
      </c>
      <c r="M186" s="10" t="s">
        <v>957</v>
      </c>
      <c r="N186">
        <v>3225</v>
      </c>
      <c r="O186" s="10" t="s">
        <v>958</v>
      </c>
    </row>
    <row r="187" spans="1:15" x14ac:dyDescent="0.3">
      <c r="A187" s="10" t="s">
        <v>959</v>
      </c>
      <c r="B187" s="10" t="s">
        <v>960</v>
      </c>
      <c r="C187" s="10" t="s">
        <v>119</v>
      </c>
      <c r="D187" s="10" t="s">
        <v>214</v>
      </c>
      <c r="E187">
        <v>196722</v>
      </c>
      <c r="F187">
        <v>1960</v>
      </c>
      <c r="G187">
        <v>9481000</v>
      </c>
      <c r="H187">
        <v>62.2</v>
      </c>
      <c r="I187">
        <v>4787</v>
      </c>
      <c r="J187">
        <v>4542</v>
      </c>
      <c r="K187" s="10" t="s">
        <v>961</v>
      </c>
      <c r="L187" s="10" t="s">
        <v>121</v>
      </c>
      <c r="M187" s="10" t="s">
        <v>962</v>
      </c>
      <c r="N187">
        <v>3198</v>
      </c>
      <c r="O187" s="10" t="s">
        <v>963</v>
      </c>
    </row>
    <row r="188" spans="1:15" x14ac:dyDescent="0.3">
      <c r="A188" s="10" t="s">
        <v>964</v>
      </c>
      <c r="B188" s="10" t="s">
        <v>36</v>
      </c>
      <c r="C188" s="10" t="s">
        <v>111</v>
      </c>
      <c r="D188" s="10" t="s">
        <v>272</v>
      </c>
      <c r="E188">
        <v>618</v>
      </c>
      <c r="F188">
        <v>1965</v>
      </c>
      <c r="G188">
        <v>3567000</v>
      </c>
      <c r="H188">
        <v>80.099999999999994</v>
      </c>
      <c r="I188">
        <v>86503</v>
      </c>
      <c r="J188">
        <v>96318</v>
      </c>
      <c r="K188" s="10" t="s">
        <v>965</v>
      </c>
      <c r="L188" s="10" t="s">
        <v>121</v>
      </c>
      <c r="M188" s="10" t="s">
        <v>966</v>
      </c>
      <c r="N188">
        <v>3208</v>
      </c>
      <c r="O188" s="10" t="s">
        <v>967</v>
      </c>
    </row>
    <row r="189" spans="1:15" x14ac:dyDescent="0.3">
      <c r="A189" s="10" t="s">
        <v>968</v>
      </c>
      <c r="B189" s="10" t="s">
        <v>969</v>
      </c>
      <c r="C189" s="10" t="s">
        <v>172</v>
      </c>
      <c r="D189" s="10" t="s">
        <v>172</v>
      </c>
      <c r="E189">
        <v>3903</v>
      </c>
      <c r="G189">
        <v>0</v>
      </c>
      <c r="I189">
        <v>0</v>
      </c>
      <c r="K189" s="10" t="s">
        <v>969</v>
      </c>
      <c r="L189" s="10" t="s">
        <v>126</v>
      </c>
      <c r="M189" s="10" t="s">
        <v>127</v>
      </c>
      <c r="O189" s="10" t="s">
        <v>970</v>
      </c>
    </row>
    <row r="190" spans="1:15" x14ac:dyDescent="0.3">
      <c r="A190" s="10" t="s">
        <v>971</v>
      </c>
      <c r="B190" s="10" t="s">
        <v>972</v>
      </c>
      <c r="C190" s="10" t="s">
        <v>119</v>
      </c>
      <c r="D190" s="10" t="s">
        <v>214</v>
      </c>
      <c r="E190">
        <v>314</v>
      </c>
      <c r="G190">
        <v>6000</v>
      </c>
      <c r="H190">
        <v>76.8</v>
      </c>
      <c r="I190">
        <v>0</v>
      </c>
      <c r="K190" s="10" t="s">
        <v>972</v>
      </c>
      <c r="L190" s="10" t="s">
        <v>126</v>
      </c>
      <c r="M190" s="10" t="s">
        <v>127</v>
      </c>
      <c r="N190">
        <v>3063</v>
      </c>
      <c r="O190" s="10" t="s">
        <v>973</v>
      </c>
    </row>
    <row r="191" spans="1:15" x14ac:dyDescent="0.3">
      <c r="A191" s="10" t="s">
        <v>974</v>
      </c>
      <c r="B191" s="10" t="s">
        <v>975</v>
      </c>
      <c r="C191" s="10" t="s">
        <v>131</v>
      </c>
      <c r="D191" s="10" t="s">
        <v>399</v>
      </c>
      <c r="E191">
        <v>62422</v>
      </c>
      <c r="G191">
        <v>3200</v>
      </c>
      <c r="I191">
        <v>0</v>
      </c>
      <c r="K191" s="10" t="s">
        <v>976</v>
      </c>
      <c r="L191" s="10" t="s">
        <v>286</v>
      </c>
      <c r="M191" s="10" t="s">
        <v>287</v>
      </c>
      <c r="N191">
        <v>938</v>
      </c>
      <c r="O191" s="10" t="s">
        <v>977</v>
      </c>
    </row>
    <row r="192" spans="1:15" x14ac:dyDescent="0.3">
      <c r="A192" s="10" t="s">
        <v>978</v>
      </c>
      <c r="B192" s="10" t="s">
        <v>979</v>
      </c>
      <c r="C192" s="10" t="s">
        <v>165</v>
      </c>
      <c r="D192" s="10" t="s">
        <v>457</v>
      </c>
      <c r="E192">
        <v>28896</v>
      </c>
      <c r="F192">
        <v>1978</v>
      </c>
      <c r="G192">
        <v>444000</v>
      </c>
      <c r="H192">
        <v>71.3</v>
      </c>
      <c r="I192">
        <v>182</v>
      </c>
      <c r="J192">
        <v>220</v>
      </c>
      <c r="K192" s="10" t="s">
        <v>979</v>
      </c>
      <c r="L192" s="10" t="s">
        <v>184</v>
      </c>
      <c r="M192" s="10" t="s">
        <v>127</v>
      </c>
      <c r="N192">
        <v>3161</v>
      </c>
      <c r="O192" s="10" t="s">
        <v>980</v>
      </c>
    </row>
    <row r="193" spans="1:15" x14ac:dyDescent="0.3">
      <c r="A193" s="10" t="s">
        <v>981</v>
      </c>
      <c r="B193" s="10" t="s">
        <v>982</v>
      </c>
      <c r="C193" s="10" t="s">
        <v>119</v>
      </c>
      <c r="D193" s="10" t="s">
        <v>214</v>
      </c>
      <c r="E193">
        <v>71740</v>
      </c>
      <c r="F193">
        <v>1961</v>
      </c>
      <c r="G193">
        <v>4854000</v>
      </c>
      <c r="H193">
        <v>45.3</v>
      </c>
      <c r="I193">
        <v>746</v>
      </c>
      <c r="J193">
        <v>858</v>
      </c>
      <c r="K193" s="10" t="s">
        <v>982</v>
      </c>
      <c r="L193" s="10" t="s">
        <v>121</v>
      </c>
      <c r="M193" s="10" t="s">
        <v>983</v>
      </c>
      <c r="N193">
        <v>3207</v>
      </c>
      <c r="O193" s="10" t="s">
        <v>984</v>
      </c>
    </row>
    <row r="194" spans="1:15" x14ac:dyDescent="0.3">
      <c r="A194" s="10" t="s">
        <v>985</v>
      </c>
      <c r="B194" s="10" t="s">
        <v>986</v>
      </c>
      <c r="C194" s="10" t="s">
        <v>104</v>
      </c>
      <c r="D194" s="10" t="s">
        <v>253</v>
      </c>
      <c r="E194">
        <v>21041</v>
      </c>
      <c r="F194">
        <v>1841</v>
      </c>
      <c r="G194">
        <v>6276000</v>
      </c>
      <c r="H194">
        <v>69.7</v>
      </c>
      <c r="I194">
        <v>11863</v>
      </c>
      <c r="J194">
        <v>11203</v>
      </c>
      <c r="K194" s="10" t="s">
        <v>986</v>
      </c>
      <c r="L194" s="10" t="s">
        <v>121</v>
      </c>
      <c r="M194" s="10" t="s">
        <v>987</v>
      </c>
      <c r="N194">
        <v>645</v>
      </c>
      <c r="O194" s="10" t="s">
        <v>988</v>
      </c>
    </row>
    <row r="195" spans="1:15" x14ac:dyDescent="0.3">
      <c r="A195" s="10" t="s">
        <v>989</v>
      </c>
      <c r="B195" s="10" t="s">
        <v>990</v>
      </c>
      <c r="C195" s="10" t="s">
        <v>131</v>
      </c>
      <c r="D195" s="10" t="s">
        <v>132</v>
      </c>
      <c r="E195">
        <v>61</v>
      </c>
      <c r="F195">
        <v>885</v>
      </c>
      <c r="G195">
        <v>27000</v>
      </c>
      <c r="H195">
        <v>81.099999999999994</v>
      </c>
      <c r="I195">
        <v>510</v>
      </c>
      <c r="K195" s="10" t="s">
        <v>990</v>
      </c>
      <c r="L195" s="10" t="s">
        <v>121</v>
      </c>
      <c r="M195" s="10"/>
      <c r="N195">
        <v>3171</v>
      </c>
      <c r="O195" s="10" t="s">
        <v>991</v>
      </c>
    </row>
    <row r="196" spans="1:15" x14ac:dyDescent="0.3">
      <c r="A196" s="10" t="s">
        <v>992</v>
      </c>
      <c r="B196" s="10" t="s">
        <v>993</v>
      </c>
      <c r="C196" s="10" t="s">
        <v>119</v>
      </c>
      <c r="D196" s="10" t="s">
        <v>203</v>
      </c>
      <c r="E196">
        <v>637657</v>
      </c>
      <c r="F196">
        <v>1960</v>
      </c>
      <c r="G196">
        <v>10097000</v>
      </c>
      <c r="H196">
        <v>46.2</v>
      </c>
      <c r="I196">
        <v>935</v>
      </c>
      <c r="K196" s="10" t="s">
        <v>994</v>
      </c>
      <c r="L196" s="10" t="s">
        <v>121</v>
      </c>
      <c r="M196" s="10" t="s">
        <v>995</v>
      </c>
      <c r="N196">
        <v>3214</v>
      </c>
      <c r="O196" s="10" t="s">
        <v>996</v>
      </c>
    </row>
    <row r="197" spans="1:15" x14ac:dyDescent="0.3">
      <c r="A197" s="10" t="s">
        <v>997</v>
      </c>
      <c r="B197" s="10" t="s">
        <v>998</v>
      </c>
      <c r="C197" s="10" t="s">
        <v>104</v>
      </c>
      <c r="D197" s="10" t="s">
        <v>104</v>
      </c>
      <c r="E197">
        <v>242</v>
      </c>
      <c r="G197">
        <v>7000</v>
      </c>
      <c r="H197">
        <v>77.599999999999994</v>
      </c>
      <c r="I197">
        <v>0</v>
      </c>
      <c r="K197" s="10" t="s">
        <v>999</v>
      </c>
      <c r="L197" s="10" t="s">
        <v>811</v>
      </c>
      <c r="M197" s="10" t="s">
        <v>180</v>
      </c>
      <c r="N197">
        <v>3067</v>
      </c>
      <c r="O197" s="10" t="s">
        <v>1000</v>
      </c>
    </row>
    <row r="198" spans="1:15" x14ac:dyDescent="0.3">
      <c r="A198" s="10" t="s">
        <v>1001</v>
      </c>
      <c r="B198" s="10" t="s">
        <v>1002</v>
      </c>
      <c r="C198" s="10" t="s">
        <v>119</v>
      </c>
      <c r="D198" s="10" t="s">
        <v>120</v>
      </c>
      <c r="E198">
        <v>964</v>
      </c>
      <c r="F198">
        <v>1975</v>
      </c>
      <c r="G198">
        <v>147000</v>
      </c>
      <c r="H198">
        <v>65.3</v>
      </c>
      <c r="I198">
        <v>6</v>
      </c>
      <c r="K198" s="10" t="s">
        <v>1003</v>
      </c>
      <c r="L198" s="10" t="s">
        <v>121</v>
      </c>
      <c r="M198" s="10" t="s">
        <v>1004</v>
      </c>
      <c r="N198">
        <v>3172</v>
      </c>
      <c r="O198" s="10" t="s">
        <v>1005</v>
      </c>
    </row>
    <row r="199" spans="1:15" x14ac:dyDescent="0.3">
      <c r="A199" s="10" t="s">
        <v>1006</v>
      </c>
      <c r="B199" s="10" t="s">
        <v>1007</v>
      </c>
      <c r="C199" s="10" t="s">
        <v>154</v>
      </c>
      <c r="D199" s="10" t="s">
        <v>154</v>
      </c>
      <c r="E199">
        <v>163265</v>
      </c>
      <c r="F199">
        <v>1975</v>
      </c>
      <c r="G199">
        <v>417000</v>
      </c>
      <c r="H199">
        <v>71.400000000000006</v>
      </c>
      <c r="I199">
        <v>870</v>
      </c>
      <c r="J199">
        <v>706</v>
      </c>
      <c r="K199" s="10" t="s">
        <v>1007</v>
      </c>
      <c r="L199" s="10" t="s">
        <v>121</v>
      </c>
      <c r="M199" s="10" t="s">
        <v>1008</v>
      </c>
      <c r="N199">
        <v>3243</v>
      </c>
      <c r="O199" s="10" t="s">
        <v>1009</v>
      </c>
    </row>
    <row r="200" spans="1:15" x14ac:dyDescent="0.3">
      <c r="A200" s="10" t="s">
        <v>1010</v>
      </c>
      <c r="B200" s="10" t="s">
        <v>1011</v>
      </c>
      <c r="C200" s="10" t="s">
        <v>131</v>
      </c>
      <c r="D200" s="10" t="s">
        <v>228</v>
      </c>
      <c r="E200">
        <v>49012</v>
      </c>
      <c r="F200">
        <v>1993</v>
      </c>
      <c r="G200">
        <v>5398700</v>
      </c>
      <c r="H200">
        <v>73.7</v>
      </c>
      <c r="I200">
        <v>20594</v>
      </c>
      <c r="J200">
        <v>19452</v>
      </c>
      <c r="K200" s="10" t="s">
        <v>1012</v>
      </c>
      <c r="L200" s="10" t="s">
        <v>121</v>
      </c>
      <c r="M200" s="10" t="s">
        <v>1013</v>
      </c>
      <c r="N200">
        <v>3209</v>
      </c>
      <c r="O200" s="10" t="s">
        <v>1014</v>
      </c>
    </row>
    <row r="201" spans="1:15" x14ac:dyDescent="0.3">
      <c r="A201" s="10" t="s">
        <v>1015</v>
      </c>
      <c r="B201" s="10" t="s">
        <v>1016</v>
      </c>
      <c r="C201" s="10" t="s">
        <v>131</v>
      </c>
      <c r="D201" s="10" t="s">
        <v>132</v>
      </c>
      <c r="E201">
        <v>20256</v>
      </c>
      <c r="F201">
        <v>1991</v>
      </c>
      <c r="G201">
        <v>1987800</v>
      </c>
      <c r="H201">
        <v>74.900000000000006</v>
      </c>
      <c r="I201">
        <v>19756</v>
      </c>
      <c r="J201">
        <v>18202</v>
      </c>
      <c r="K201" s="10" t="s">
        <v>1017</v>
      </c>
      <c r="L201" s="10" t="s">
        <v>121</v>
      </c>
      <c r="M201" s="10" t="s">
        <v>1018</v>
      </c>
      <c r="N201">
        <v>3212</v>
      </c>
      <c r="O201" s="10" t="s">
        <v>1019</v>
      </c>
    </row>
    <row r="202" spans="1:15" x14ac:dyDescent="0.3">
      <c r="A202" s="10" t="s">
        <v>1020</v>
      </c>
      <c r="B202" s="10" t="s">
        <v>1021</v>
      </c>
      <c r="C202" s="10" t="s">
        <v>131</v>
      </c>
      <c r="D202" s="10" t="s">
        <v>399</v>
      </c>
      <c r="E202">
        <v>449964</v>
      </c>
      <c r="F202">
        <v>836</v>
      </c>
      <c r="G202">
        <v>8861400</v>
      </c>
      <c r="H202">
        <v>79.599999999999994</v>
      </c>
      <c r="I202">
        <v>226492</v>
      </c>
      <c r="J202">
        <v>227757</v>
      </c>
      <c r="K202" s="10" t="s">
        <v>1022</v>
      </c>
      <c r="L202" s="10" t="s">
        <v>184</v>
      </c>
      <c r="M202" s="10" t="s">
        <v>1023</v>
      </c>
      <c r="N202">
        <v>3048</v>
      </c>
      <c r="O202" s="10" t="s">
        <v>1024</v>
      </c>
    </row>
    <row r="203" spans="1:15" x14ac:dyDescent="0.3">
      <c r="A203" s="10" t="s">
        <v>1025</v>
      </c>
      <c r="B203" s="10" t="s">
        <v>1026</v>
      </c>
      <c r="C203" s="10" t="s">
        <v>119</v>
      </c>
      <c r="D203" s="10" t="s">
        <v>291</v>
      </c>
      <c r="E203">
        <v>17364</v>
      </c>
      <c r="F203">
        <v>1968</v>
      </c>
      <c r="G203">
        <v>1008000</v>
      </c>
      <c r="H203">
        <v>40.4</v>
      </c>
      <c r="I203">
        <v>1206</v>
      </c>
      <c r="J203">
        <v>1312</v>
      </c>
      <c r="K203" s="10" t="s">
        <v>1027</v>
      </c>
      <c r="L203" s="10" t="s">
        <v>280</v>
      </c>
      <c r="M203" s="10" t="s">
        <v>1028</v>
      </c>
      <c r="N203">
        <v>3244</v>
      </c>
      <c r="O203" s="10" t="s">
        <v>1029</v>
      </c>
    </row>
    <row r="204" spans="1:15" x14ac:dyDescent="0.3">
      <c r="A204" s="10" t="s">
        <v>1030</v>
      </c>
      <c r="B204" s="10" t="s">
        <v>1031</v>
      </c>
      <c r="C204" s="10" t="s">
        <v>119</v>
      </c>
      <c r="D204" s="10" t="s">
        <v>203</v>
      </c>
      <c r="E204">
        <v>455</v>
      </c>
      <c r="F204">
        <v>1976</v>
      </c>
      <c r="G204">
        <v>77000</v>
      </c>
      <c r="H204">
        <v>70.400000000000006</v>
      </c>
      <c r="I204">
        <v>536</v>
      </c>
      <c r="J204">
        <v>539</v>
      </c>
      <c r="K204" s="10" t="s">
        <v>1032</v>
      </c>
      <c r="L204" s="10" t="s">
        <v>121</v>
      </c>
      <c r="M204" s="10" t="s">
        <v>1033</v>
      </c>
      <c r="N204">
        <v>3206</v>
      </c>
      <c r="O204" s="10" t="s">
        <v>1034</v>
      </c>
    </row>
    <row r="205" spans="1:15" x14ac:dyDescent="0.3">
      <c r="A205" s="10" t="s">
        <v>1035</v>
      </c>
      <c r="B205" s="10" t="s">
        <v>1036</v>
      </c>
      <c r="C205" s="10" t="s">
        <v>111</v>
      </c>
      <c r="D205" s="10" t="s">
        <v>147</v>
      </c>
      <c r="E205">
        <v>185180</v>
      </c>
      <c r="F205">
        <v>1941</v>
      </c>
      <c r="G205">
        <v>16125000</v>
      </c>
      <c r="H205">
        <v>68.5</v>
      </c>
      <c r="I205">
        <v>65984</v>
      </c>
      <c r="J205">
        <v>64926</v>
      </c>
      <c r="K205" s="10" t="s">
        <v>1037</v>
      </c>
      <c r="L205" s="10" t="s">
        <v>121</v>
      </c>
      <c r="M205" s="10" t="s">
        <v>1038</v>
      </c>
      <c r="N205">
        <v>3250</v>
      </c>
      <c r="O205" s="10" t="s">
        <v>1039</v>
      </c>
    </row>
    <row r="206" spans="1:15" x14ac:dyDescent="0.3">
      <c r="A206" s="10" t="s">
        <v>1040</v>
      </c>
      <c r="B206" s="10" t="s">
        <v>1041</v>
      </c>
      <c r="C206" s="10" t="s">
        <v>104</v>
      </c>
      <c r="D206" s="10" t="s">
        <v>105</v>
      </c>
      <c r="E206">
        <v>430</v>
      </c>
      <c r="G206">
        <v>17000</v>
      </c>
      <c r="H206">
        <v>73.3</v>
      </c>
      <c r="I206">
        <v>96</v>
      </c>
      <c r="K206" s="10" t="s">
        <v>1042</v>
      </c>
      <c r="L206" s="10" t="s">
        <v>126</v>
      </c>
      <c r="M206" s="10" t="s">
        <v>127</v>
      </c>
      <c r="N206">
        <v>3423</v>
      </c>
      <c r="O206" s="10" t="s">
        <v>1043</v>
      </c>
    </row>
    <row r="207" spans="1:15" x14ac:dyDescent="0.3">
      <c r="A207" s="10" t="s">
        <v>1044</v>
      </c>
      <c r="B207" s="10" t="s">
        <v>1045</v>
      </c>
      <c r="C207" s="10" t="s">
        <v>119</v>
      </c>
      <c r="D207" s="10" t="s">
        <v>120</v>
      </c>
      <c r="E207">
        <v>1284000</v>
      </c>
      <c r="F207">
        <v>1960</v>
      </c>
      <c r="G207">
        <v>7651000</v>
      </c>
      <c r="H207">
        <v>50.5</v>
      </c>
      <c r="I207">
        <v>1208</v>
      </c>
      <c r="J207">
        <v>1102</v>
      </c>
      <c r="K207" s="10" t="s">
        <v>1046</v>
      </c>
      <c r="L207" s="10" t="s">
        <v>121</v>
      </c>
      <c r="M207" s="10" t="s">
        <v>1047</v>
      </c>
      <c r="N207">
        <v>3337</v>
      </c>
      <c r="O207" s="10" t="s">
        <v>1048</v>
      </c>
    </row>
    <row r="208" spans="1:15" x14ac:dyDescent="0.3">
      <c r="A208" s="10" t="s">
        <v>1049</v>
      </c>
      <c r="B208" s="10" t="s">
        <v>1050</v>
      </c>
      <c r="C208" s="10" t="s">
        <v>119</v>
      </c>
      <c r="D208" s="10" t="s">
        <v>214</v>
      </c>
      <c r="E208">
        <v>56785</v>
      </c>
      <c r="F208">
        <v>1960</v>
      </c>
      <c r="G208">
        <v>4629000</v>
      </c>
      <c r="H208">
        <v>54.7</v>
      </c>
      <c r="I208">
        <v>1449</v>
      </c>
      <c r="J208">
        <v>1400</v>
      </c>
      <c r="K208" s="10" t="s">
        <v>1050</v>
      </c>
      <c r="L208" s="10" t="s">
        <v>121</v>
      </c>
      <c r="M208" s="10" t="s">
        <v>1051</v>
      </c>
      <c r="N208">
        <v>3332</v>
      </c>
      <c r="O208" s="10" t="s">
        <v>1052</v>
      </c>
    </row>
    <row r="209" spans="1:15" x14ac:dyDescent="0.3">
      <c r="A209" s="10" t="s">
        <v>1053</v>
      </c>
      <c r="B209" s="10" t="s">
        <v>1054</v>
      </c>
      <c r="C209" s="10" t="s">
        <v>111</v>
      </c>
      <c r="D209" s="10" t="s">
        <v>272</v>
      </c>
      <c r="E209">
        <v>513115</v>
      </c>
      <c r="F209">
        <v>1350</v>
      </c>
      <c r="G209">
        <v>61399000</v>
      </c>
      <c r="H209">
        <v>68.599999999999994</v>
      </c>
      <c r="I209">
        <v>116416</v>
      </c>
      <c r="J209">
        <v>153907</v>
      </c>
      <c r="K209" s="10" t="s">
        <v>1055</v>
      </c>
      <c r="L209" s="10" t="s">
        <v>184</v>
      </c>
      <c r="M209" s="10" t="s">
        <v>1056</v>
      </c>
      <c r="N209">
        <v>3320</v>
      </c>
      <c r="O209" s="10" t="s">
        <v>1057</v>
      </c>
    </row>
    <row r="210" spans="1:15" x14ac:dyDescent="0.3">
      <c r="A210" s="10" t="s">
        <v>1058</v>
      </c>
      <c r="B210" s="10" t="s">
        <v>1059</v>
      </c>
      <c r="C210" s="10" t="s">
        <v>111</v>
      </c>
      <c r="D210" s="10" t="s">
        <v>112</v>
      </c>
      <c r="E210">
        <v>143100</v>
      </c>
      <c r="F210">
        <v>1991</v>
      </c>
      <c r="G210">
        <v>6188000</v>
      </c>
      <c r="H210">
        <v>64.099999999999994</v>
      </c>
      <c r="I210">
        <v>1990</v>
      </c>
      <c r="J210">
        <v>1056</v>
      </c>
      <c r="K210" s="10" t="s">
        <v>1060</v>
      </c>
      <c r="L210" s="10" t="s">
        <v>121</v>
      </c>
      <c r="M210" s="10" t="s">
        <v>1061</v>
      </c>
      <c r="N210">
        <v>3261</v>
      </c>
      <c r="O210" s="10" t="s">
        <v>1062</v>
      </c>
    </row>
    <row r="211" spans="1:15" x14ac:dyDescent="0.3">
      <c r="A211" s="10" t="s">
        <v>1063</v>
      </c>
      <c r="B211" s="10" t="s">
        <v>1064</v>
      </c>
      <c r="C211" s="10" t="s">
        <v>165</v>
      </c>
      <c r="D211" s="10" t="s">
        <v>166</v>
      </c>
      <c r="E211">
        <v>12</v>
      </c>
      <c r="G211">
        <v>2000</v>
      </c>
      <c r="I211">
        <v>0</v>
      </c>
      <c r="K211" s="10" t="s">
        <v>1064</v>
      </c>
      <c r="L211" s="10" t="s">
        <v>343</v>
      </c>
      <c r="M211" s="10" t="s">
        <v>127</v>
      </c>
      <c r="N211">
        <v>3333</v>
      </c>
      <c r="O211" s="10" t="s">
        <v>1065</v>
      </c>
    </row>
    <row r="212" spans="1:15" x14ac:dyDescent="0.3">
      <c r="A212" s="10" t="s">
        <v>1066</v>
      </c>
      <c r="B212" s="10" t="s">
        <v>1067</v>
      </c>
      <c r="C212" s="10" t="s">
        <v>111</v>
      </c>
      <c r="D212" s="10" t="s">
        <v>112</v>
      </c>
      <c r="E212">
        <v>488100</v>
      </c>
      <c r="F212">
        <v>1991</v>
      </c>
      <c r="G212">
        <v>4459000</v>
      </c>
      <c r="H212">
        <v>60.9</v>
      </c>
      <c r="I212">
        <v>4397</v>
      </c>
      <c r="J212">
        <v>2000</v>
      </c>
      <c r="K212" s="10" t="s">
        <v>1068</v>
      </c>
      <c r="L212" s="10" t="s">
        <v>121</v>
      </c>
      <c r="M212" s="10" t="s">
        <v>1069</v>
      </c>
      <c r="N212">
        <v>3419</v>
      </c>
      <c r="O212" s="10" t="s">
        <v>1070</v>
      </c>
    </row>
    <row r="213" spans="1:15" x14ac:dyDescent="0.3">
      <c r="A213" s="10" t="s">
        <v>1071</v>
      </c>
      <c r="B213" s="10" t="s">
        <v>1072</v>
      </c>
      <c r="C213" s="10" t="s">
        <v>111</v>
      </c>
      <c r="D213" s="10" t="s">
        <v>272</v>
      </c>
      <c r="E213">
        <v>14874</v>
      </c>
      <c r="G213">
        <v>893850</v>
      </c>
      <c r="H213">
        <v>46</v>
      </c>
      <c r="I213">
        <v>0</v>
      </c>
      <c r="K213" s="10" t="s">
        <v>1073</v>
      </c>
      <c r="L213" s="10" t="s">
        <v>1074</v>
      </c>
      <c r="M213" s="10" t="s">
        <v>1075</v>
      </c>
      <c r="N213">
        <v>1522</v>
      </c>
      <c r="O213" s="10" t="s">
        <v>1076</v>
      </c>
    </row>
    <row r="214" spans="1:15" x14ac:dyDescent="0.3">
      <c r="A214" s="10" t="s">
        <v>1077</v>
      </c>
      <c r="B214" s="10" t="s">
        <v>1078</v>
      </c>
      <c r="C214" s="10" t="s">
        <v>165</v>
      </c>
      <c r="D214" s="10" t="s">
        <v>166</v>
      </c>
      <c r="E214">
        <v>650</v>
      </c>
      <c r="F214">
        <v>1970</v>
      </c>
      <c r="G214">
        <v>99000</v>
      </c>
      <c r="H214">
        <v>67.900000000000006</v>
      </c>
      <c r="I214">
        <v>146</v>
      </c>
      <c r="J214">
        <v>170</v>
      </c>
      <c r="K214" s="10" t="s">
        <v>1078</v>
      </c>
      <c r="L214" s="10" t="s">
        <v>280</v>
      </c>
      <c r="M214" s="10" t="s">
        <v>1079</v>
      </c>
      <c r="N214">
        <v>3334</v>
      </c>
      <c r="O214" s="10" t="s">
        <v>1080</v>
      </c>
    </row>
    <row r="215" spans="1:15" x14ac:dyDescent="0.3">
      <c r="A215" s="10" t="s">
        <v>1081</v>
      </c>
      <c r="B215" s="10" t="s">
        <v>1082</v>
      </c>
      <c r="C215" s="10" t="s">
        <v>104</v>
      </c>
      <c r="D215" s="10" t="s">
        <v>105</v>
      </c>
      <c r="E215">
        <v>5130</v>
      </c>
      <c r="F215">
        <v>1962</v>
      </c>
      <c r="G215">
        <v>1295000</v>
      </c>
      <c r="H215">
        <v>68</v>
      </c>
      <c r="I215">
        <v>6232</v>
      </c>
      <c r="J215">
        <v>5867</v>
      </c>
      <c r="K215" s="10" t="s">
        <v>1082</v>
      </c>
      <c r="L215" s="10" t="s">
        <v>121</v>
      </c>
      <c r="M215" s="10" t="s">
        <v>1083</v>
      </c>
      <c r="N215">
        <v>3336</v>
      </c>
      <c r="O215" s="10" t="s">
        <v>1084</v>
      </c>
    </row>
    <row r="216" spans="1:15" x14ac:dyDescent="0.3">
      <c r="A216" s="10" t="s">
        <v>1085</v>
      </c>
      <c r="B216" s="10" t="s">
        <v>1086</v>
      </c>
      <c r="C216" s="10" t="s">
        <v>119</v>
      </c>
      <c r="D216" s="10" t="s">
        <v>410</v>
      </c>
      <c r="E216">
        <v>163610</v>
      </c>
      <c r="F216">
        <v>1956</v>
      </c>
      <c r="G216">
        <v>9586000</v>
      </c>
      <c r="H216">
        <v>73.7</v>
      </c>
      <c r="I216">
        <v>20026</v>
      </c>
      <c r="J216">
        <v>18898</v>
      </c>
      <c r="K216" s="10" t="s">
        <v>1087</v>
      </c>
      <c r="L216" s="10" t="s">
        <v>121</v>
      </c>
      <c r="M216" s="10" t="s">
        <v>1088</v>
      </c>
      <c r="N216">
        <v>3349</v>
      </c>
      <c r="O216" s="10" t="s">
        <v>1089</v>
      </c>
    </row>
    <row r="217" spans="1:15" x14ac:dyDescent="0.3">
      <c r="A217" s="10" t="s">
        <v>1090</v>
      </c>
      <c r="B217" s="10" t="s">
        <v>1091</v>
      </c>
      <c r="C217" s="10" t="s">
        <v>111</v>
      </c>
      <c r="D217" s="10" t="s">
        <v>147</v>
      </c>
      <c r="E217">
        <v>774815</v>
      </c>
      <c r="F217">
        <v>1923</v>
      </c>
      <c r="G217">
        <v>66591000</v>
      </c>
      <c r="H217">
        <v>71</v>
      </c>
      <c r="I217">
        <v>210721</v>
      </c>
      <c r="J217">
        <v>189122</v>
      </c>
      <c r="K217" s="10" t="s">
        <v>1092</v>
      </c>
      <c r="L217" s="10" t="s">
        <v>121</v>
      </c>
      <c r="M217" s="10" t="s">
        <v>1093</v>
      </c>
      <c r="N217">
        <v>3358</v>
      </c>
      <c r="O217" s="10" t="s">
        <v>1094</v>
      </c>
    </row>
    <row r="218" spans="1:15" x14ac:dyDescent="0.3">
      <c r="A218" s="10" t="s">
        <v>1095</v>
      </c>
      <c r="B218" s="10" t="s">
        <v>1096</v>
      </c>
      <c r="C218" s="10" t="s">
        <v>165</v>
      </c>
      <c r="D218" s="10" t="s">
        <v>166</v>
      </c>
      <c r="E218">
        <v>26</v>
      </c>
      <c r="F218">
        <v>1978</v>
      </c>
      <c r="G218">
        <v>12000</v>
      </c>
      <c r="H218">
        <v>66.3</v>
      </c>
      <c r="I218">
        <v>6</v>
      </c>
      <c r="K218" s="10" t="s">
        <v>1096</v>
      </c>
      <c r="L218" s="10" t="s">
        <v>184</v>
      </c>
      <c r="M218" s="10" t="s">
        <v>127</v>
      </c>
      <c r="N218">
        <v>3424</v>
      </c>
      <c r="O218" s="10" t="s">
        <v>1097</v>
      </c>
    </row>
    <row r="219" spans="1:15" x14ac:dyDescent="0.3">
      <c r="A219" s="10" t="s">
        <v>1098</v>
      </c>
      <c r="B219" s="10" t="s">
        <v>1099</v>
      </c>
      <c r="C219" s="10" t="s">
        <v>111</v>
      </c>
      <c r="D219" s="10" t="s">
        <v>317</v>
      </c>
      <c r="E219">
        <v>36188</v>
      </c>
      <c r="F219">
        <v>1945</v>
      </c>
      <c r="G219">
        <v>22256000</v>
      </c>
      <c r="H219">
        <v>76.400000000000006</v>
      </c>
      <c r="I219">
        <v>256254</v>
      </c>
      <c r="J219">
        <v>263451</v>
      </c>
      <c r="K219" s="10" t="s">
        <v>1100</v>
      </c>
      <c r="L219" s="10" t="s">
        <v>121</v>
      </c>
      <c r="M219" s="10" t="s">
        <v>1101</v>
      </c>
      <c r="N219">
        <v>3263</v>
      </c>
      <c r="O219" s="10" t="s">
        <v>1102</v>
      </c>
    </row>
    <row r="220" spans="1:15" x14ac:dyDescent="0.3">
      <c r="A220" s="10" t="s">
        <v>1103</v>
      </c>
      <c r="B220" s="10" t="s">
        <v>1104</v>
      </c>
      <c r="C220" s="10" t="s">
        <v>119</v>
      </c>
      <c r="D220" s="10" t="s">
        <v>203</v>
      </c>
      <c r="E220">
        <v>883749</v>
      </c>
      <c r="F220">
        <v>1961</v>
      </c>
      <c r="G220">
        <v>33517000</v>
      </c>
      <c r="H220">
        <v>52.3</v>
      </c>
      <c r="I220">
        <v>8005</v>
      </c>
      <c r="J220">
        <v>7388</v>
      </c>
      <c r="K220" s="10" t="s">
        <v>1104</v>
      </c>
      <c r="L220" s="10" t="s">
        <v>121</v>
      </c>
      <c r="M220" s="10" t="s">
        <v>1105</v>
      </c>
      <c r="N220">
        <v>3306</v>
      </c>
      <c r="O220" s="10" t="s">
        <v>1106</v>
      </c>
    </row>
    <row r="221" spans="1:15" x14ac:dyDescent="0.3">
      <c r="A221" s="10" t="s">
        <v>1107</v>
      </c>
      <c r="B221" s="10" t="s">
        <v>1108</v>
      </c>
      <c r="C221" s="10" t="s">
        <v>119</v>
      </c>
      <c r="D221" s="10" t="s">
        <v>203</v>
      </c>
      <c r="E221">
        <v>241038</v>
      </c>
      <c r="F221">
        <v>1962</v>
      </c>
      <c r="G221">
        <v>21778000</v>
      </c>
      <c r="H221">
        <v>42.9</v>
      </c>
      <c r="I221">
        <v>6313</v>
      </c>
      <c r="J221">
        <v>6887</v>
      </c>
      <c r="K221" s="10" t="s">
        <v>1108</v>
      </c>
      <c r="L221" s="10" t="s">
        <v>121</v>
      </c>
      <c r="M221" s="10" t="s">
        <v>1109</v>
      </c>
      <c r="N221">
        <v>3425</v>
      </c>
      <c r="O221" s="10" t="s">
        <v>1110</v>
      </c>
    </row>
    <row r="222" spans="1:15" x14ac:dyDescent="0.3">
      <c r="A222" s="10" t="s">
        <v>1111</v>
      </c>
      <c r="B222" s="10" t="s">
        <v>1112</v>
      </c>
      <c r="C222" s="10" t="s">
        <v>131</v>
      </c>
      <c r="D222" s="10" t="s">
        <v>228</v>
      </c>
      <c r="E222">
        <v>603700</v>
      </c>
      <c r="F222">
        <v>1991</v>
      </c>
      <c r="G222">
        <v>50456000</v>
      </c>
      <c r="H222">
        <v>66</v>
      </c>
      <c r="I222">
        <v>42168</v>
      </c>
      <c r="J222">
        <v>49677</v>
      </c>
      <c r="K222" s="10" t="s">
        <v>1113</v>
      </c>
      <c r="L222" s="10" t="s">
        <v>121</v>
      </c>
      <c r="M222" s="10" t="s">
        <v>1114</v>
      </c>
      <c r="N222">
        <v>3426</v>
      </c>
      <c r="O222" s="10" t="s">
        <v>1115</v>
      </c>
    </row>
    <row r="223" spans="1:15" x14ac:dyDescent="0.3">
      <c r="A223" s="10" t="s">
        <v>1116</v>
      </c>
      <c r="B223" s="10" t="s">
        <v>1117</v>
      </c>
      <c r="C223" s="10" t="s">
        <v>165</v>
      </c>
      <c r="D223" s="10" t="s">
        <v>1118</v>
      </c>
      <c r="E223">
        <v>16</v>
      </c>
      <c r="G223">
        <v>0</v>
      </c>
      <c r="I223">
        <v>0</v>
      </c>
      <c r="K223" s="10" t="s">
        <v>1117</v>
      </c>
      <c r="L223" s="10" t="s">
        <v>1119</v>
      </c>
      <c r="M223" s="10" t="s">
        <v>169</v>
      </c>
      <c r="O223" s="10" t="s">
        <v>1120</v>
      </c>
    </row>
    <row r="224" spans="1:15" x14ac:dyDescent="0.3">
      <c r="A224" s="10" t="s">
        <v>1121</v>
      </c>
      <c r="B224" s="10" t="s">
        <v>1122</v>
      </c>
      <c r="C224" s="10" t="s">
        <v>154</v>
      </c>
      <c r="D224" s="10" t="s">
        <v>154</v>
      </c>
      <c r="E224">
        <v>175016</v>
      </c>
      <c r="F224">
        <v>1828</v>
      </c>
      <c r="G224">
        <v>3337000</v>
      </c>
      <c r="H224">
        <v>75.2</v>
      </c>
      <c r="I224">
        <v>20831</v>
      </c>
      <c r="J224">
        <v>19967</v>
      </c>
      <c r="K224" s="10" t="s">
        <v>1122</v>
      </c>
      <c r="L224" s="10" t="s">
        <v>121</v>
      </c>
      <c r="M224" s="10" t="s">
        <v>1123</v>
      </c>
      <c r="N224">
        <v>3492</v>
      </c>
      <c r="O224" s="10" t="s">
        <v>1124</v>
      </c>
    </row>
    <row r="225" spans="1:15" x14ac:dyDescent="0.3">
      <c r="A225" s="10" t="s">
        <v>26</v>
      </c>
      <c r="B225" s="10" t="s">
        <v>1125</v>
      </c>
      <c r="C225" s="10" t="s">
        <v>104</v>
      </c>
      <c r="D225" s="10" t="s">
        <v>104</v>
      </c>
      <c r="E225">
        <v>9363520</v>
      </c>
      <c r="F225">
        <v>1776</v>
      </c>
      <c r="G225">
        <v>278357000</v>
      </c>
      <c r="H225">
        <v>77.099999999999994</v>
      </c>
      <c r="I225">
        <v>8510700</v>
      </c>
      <c r="J225">
        <v>8110900</v>
      </c>
      <c r="K225" s="10" t="s">
        <v>1125</v>
      </c>
      <c r="L225" s="10" t="s">
        <v>155</v>
      </c>
      <c r="M225" s="10" t="s">
        <v>169</v>
      </c>
      <c r="N225">
        <v>3813</v>
      </c>
      <c r="O225" s="10" t="s">
        <v>1126</v>
      </c>
    </row>
    <row r="226" spans="1:15" x14ac:dyDescent="0.3">
      <c r="A226" s="10" t="s">
        <v>1127</v>
      </c>
      <c r="B226" s="10" t="s">
        <v>1128</v>
      </c>
      <c r="C226" s="10" t="s">
        <v>111</v>
      </c>
      <c r="D226" s="10" t="s">
        <v>112</v>
      </c>
      <c r="E226">
        <v>447400</v>
      </c>
      <c r="F226">
        <v>1991</v>
      </c>
      <c r="G226">
        <v>24318000</v>
      </c>
      <c r="H226">
        <v>63.7</v>
      </c>
      <c r="I226">
        <v>14194</v>
      </c>
      <c r="J226">
        <v>21300</v>
      </c>
      <c r="K226" s="10" t="s">
        <v>1129</v>
      </c>
      <c r="L226" s="10" t="s">
        <v>121</v>
      </c>
      <c r="M226" s="10" t="s">
        <v>1130</v>
      </c>
      <c r="N226">
        <v>3503</v>
      </c>
      <c r="O226" s="10" t="s">
        <v>1131</v>
      </c>
    </row>
    <row r="227" spans="1:15" x14ac:dyDescent="0.3">
      <c r="A227" s="10" t="s">
        <v>1132</v>
      </c>
      <c r="B227" s="10" t="s">
        <v>1133</v>
      </c>
      <c r="C227" s="10" t="s">
        <v>131</v>
      </c>
      <c r="D227" s="10" t="s">
        <v>132</v>
      </c>
      <c r="E227">
        <v>0.4</v>
      </c>
      <c r="F227">
        <v>1929</v>
      </c>
      <c r="G227">
        <v>1000</v>
      </c>
      <c r="I227">
        <v>9</v>
      </c>
      <c r="K227" s="10" t="s">
        <v>1134</v>
      </c>
      <c r="L227" s="10" t="s">
        <v>1135</v>
      </c>
      <c r="M227" s="10" t="s">
        <v>1136</v>
      </c>
      <c r="N227">
        <v>3538</v>
      </c>
      <c r="O227" s="10" t="s">
        <v>1137</v>
      </c>
    </row>
    <row r="228" spans="1:15" x14ac:dyDescent="0.3">
      <c r="A228" s="10" t="s">
        <v>1138</v>
      </c>
      <c r="B228" s="10" t="s">
        <v>1139</v>
      </c>
      <c r="C228" s="10" t="s">
        <v>104</v>
      </c>
      <c r="D228" s="10" t="s">
        <v>105</v>
      </c>
      <c r="E228">
        <v>388</v>
      </c>
      <c r="F228">
        <v>1979</v>
      </c>
      <c r="G228">
        <v>114000</v>
      </c>
      <c r="H228">
        <v>72.3</v>
      </c>
      <c r="I228">
        <v>285</v>
      </c>
      <c r="K228" s="10" t="s">
        <v>1139</v>
      </c>
      <c r="L228" s="10" t="s">
        <v>184</v>
      </c>
      <c r="M228" s="10" t="s">
        <v>127</v>
      </c>
      <c r="N228">
        <v>3066</v>
      </c>
      <c r="O228" s="10" t="s">
        <v>1140</v>
      </c>
    </row>
    <row r="229" spans="1:15" x14ac:dyDescent="0.3">
      <c r="A229" s="10" t="s">
        <v>1141</v>
      </c>
      <c r="B229" s="10" t="s">
        <v>1142</v>
      </c>
      <c r="C229" s="10" t="s">
        <v>154</v>
      </c>
      <c r="D229" s="10" t="s">
        <v>154</v>
      </c>
      <c r="E229">
        <v>912050</v>
      </c>
      <c r="F229">
        <v>1811</v>
      </c>
      <c r="G229">
        <v>24170000</v>
      </c>
      <c r="H229">
        <v>73.099999999999994</v>
      </c>
      <c r="I229">
        <v>95023</v>
      </c>
      <c r="J229">
        <v>88434</v>
      </c>
      <c r="K229" s="10" t="s">
        <v>1142</v>
      </c>
      <c r="L229" s="10" t="s">
        <v>155</v>
      </c>
      <c r="M229" s="10" t="s">
        <v>1143</v>
      </c>
      <c r="N229">
        <v>3539</v>
      </c>
      <c r="O229" s="10" t="s">
        <v>1144</v>
      </c>
    </row>
    <row r="230" spans="1:15" x14ac:dyDescent="0.3">
      <c r="A230" s="10" t="s">
        <v>1145</v>
      </c>
      <c r="B230" s="10" t="s">
        <v>1146</v>
      </c>
      <c r="C230" s="10" t="s">
        <v>104</v>
      </c>
      <c r="D230" s="10" t="s">
        <v>105</v>
      </c>
      <c r="E230">
        <v>151</v>
      </c>
      <c r="G230">
        <v>21000</v>
      </c>
      <c r="H230">
        <v>75.400000000000006</v>
      </c>
      <c r="I230">
        <v>612</v>
      </c>
      <c r="J230">
        <v>573</v>
      </c>
      <c r="K230" s="10" t="s">
        <v>1147</v>
      </c>
      <c r="L230" s="10" t="s">
        <v>126</v>
      </c>
      <c r="M230" s="10" t="s">
        <v>127</v>
      </c>
      <c r="N230">
        <v>537</v>
      </c>
      <c r="O230" s="10" t="s">
        <v>1148</v>
      </c>
    </row>
    <row r="231" spans="1:15" x14ac:dyDescent="0.3">
      <c r="A231" s="10" t="s">
        <v>1149</v>
      </c>
      <c r="B231" s="10" t="s">
        <v>1150</v>
      </c>
      <c r="C231" s="10" t="s">
        <v>104</v>
      </c>
      <c r="D231" s="10" t="s">
        <v>105</v>
      </c>
      <c r="E231">
        <v>347</v>
      </c>
      <c r="G231">
        <v>93000</v>
      </c>
      <c r="H231">
        <v>78.099999999999994</v>
      </c>
      <c r="I231">
        <v>0</v>
      </c>
      <c r="K231" s="10" t="s">
        <v>1151</v>
      </c>
      <c r="L231" s="10" t="s">
        <v>168</v>
      </c>
      <c r="M231" s="10" t="s">
        <v>169</v>
      </c>
      <c r="N231">
        <v>4067</v>
      </c>
      <c r="O231" s="10" t="s">
        <v>1152</v>
      </c>
    </row>
    <row r="232" spans="1:15" x14ac:dyDescent="0.3">
      <c r="A232" s="10" t="s">
        <v>1153</v>
      </c>
      <c r="B232" s="10" t="s">
        <v>1154</v>
      </c>
      <c r="C232" s="10" t="s">
        <v>111</v>
      </c>
      <c r="D232" s="10" t="s">
        <v>272</v>
      </c>
      <c r="E232">
        <v>331689</v>
      </c>
      <c r="F232">
        <v>1945</v>
      </c>
      <c r="G232">
        <v>79832000</v>
      </c>
      <c r="H232">
        <v>69.3</v>
      </c>
      <c r="I232">
        <v>21929</v>
      </c>
      <c r="J232">
        <v>22834</v>
      </c>
      <c r="K232" s="10" t="s">
        <v>1155</v>
      </c>
      <c r="L232" s="10" t="s">
        <v>365</v>
      </c>
      <c r="M232" s="10" t="s">
        <v>1156</v>
      </c>
      <c r="N232">
        <v>3770</v>
      </c>
      <c r="O232" s="10" t="s">
        <v>1157</v>
      </c>
    </row>
    <row r="233" spans="1:15" x14ac:dyDescent="0.3">
      <c r="A233" s="10" t="s">
        <v>1158</v>
      </c>
      <c r="B233" s="10" t="s">
        <v>1159</v>
      </c>
      <c r="C233" s="10" t="s">
        <v>165</v>
      </c>
      <c r="D233" s="10" t="s">
        <v>457</v>
      </c>
      <c r="E233">
        <v>12189</v>
      </c>
      <c r="F233">
        <v>1980</v>
      </c>
      <c r="G233">
        <v>190000</v>
      </c>
      <c r="H233">
        <v>60.6</v>
      </c>
      <c r="I233">
        <v>261</v>
      </c>
      <c r="J233">
        <v>246</v>
      </c>
      <c r="K233" s="10" t="s">
        <v>1159</v>
      </c>
      <c r="L233" s="10" t="s">
        <v>121</v>
      </c>
      <c r="M233" s="10" t="s">
        <v>1160</v>
      </c>
      <c r="N233">
        <v>3537</v>
      </c>
      <c r="O233" s="10" t="s">
        <v>1161</v>
      </c>
    </row>
    <row r="234" spans="1:15" x14ac:dyDescent="0.3">
      <c r="A234" s="10" t="s">
        <v>1162</v>
      </c>
      <c r="B234" s="10" t="s">
        <v>1163</v>
      </c>
      <c r="C234" s="10" t="s">
        <v>165</v>
      </c>
      <c r="D234" s="10" t="s">
        <v>166</v>
      </c>
      <c r="E234">
        <v>200</v>
      </c>
      <c r="G234">
        <v>15000</v>
      </c>
      <c r="I234">
        <v>0</v>
      </c>
      <c r="K234" s="10" t="s">
        <v>1164</v>
      </c>
      <c r="L234" s="10" t="s">
        <v>179</v>
      </c>
      <c r="M234" s="10" t="s">
        <v>180</v>
      </c>
      <c r="N234">
        <v>3536</v>
      </c>
      <c r="O234" s="10" t="s">
        <v>1165</v>
      </c>
    </row>
    <row r="235" spans="1:15" x14ac:dyDescent="0.3">
      <c r="A235" s="10" t="s">
        <v>1166</v>
      </c>
      <c r="B235" s="10" t="s">
        <v>1167</v>
      </c>
      <c r="C235" s="10" t="s">
        <v>165</v>
      </c>
      <c r="D235" s="10" t="s">
        <v>166</v>
      </c>
      <c r="E235">
        <v>2831</v>
      </c>
      <c r="F235">
        <v>1962</v>
      </c>
      <c r="G235">
        <v>180000</v>
      </c>
      <c r="H235">
        <v>69.2</v>
      </c>
      <c r="I235">
        <v>141</v>
      </c>
      <c r="J235">
        <v>157</v>
      </c>
      <c r="K235" s="10" t="s">
        <v>1167</v>
      </c>
      <c r="L235" s="10" t="s">
        <v>1168</v>
      </c>
      <c r="M235" s="10" t="s">
        <v>1169</v>
      </c>
      <c r="N235">
        <v>3169</v>
      </c>
      <c r="O235" s="10" t="s">
        <v>1170</v>
      </c>
    </row>
    <row r="236" spans="1:15" x14ac:dyDescent="0.3">
      <c r="A236" s="10" t="s">
        <v>1171</v>
      </c>
      <c r="B236" s="10" t="s">
        <v>1172</v>
      </c>
      <c r="C236" s="10" t="s">
        <v>111</v>
      </c>
      <c r="D236" s="10" t="s">
        <v>147</v>
      </c>
      <c r="E236">
        <v>527968</v>
      </c>
      <c r="F236">
        <v>1918</v>
      </c>
      <c r="G236">
        <v>18112000</v>
      </c>
      <c r="H236">
        <v>59.8</v>
      </c>
      <c r="I236">
        <v>6041</v>
      </c>
      <c r="J236">
        <v>5729</v>
      </c>
      <c r="K236" s="10" t="s">
        <v>1173</v>
      </c>
      <c r="L236" s="10" t="s">
        <v>121</v>
      </c>
      <c r="M236" s="10" t="s">
        <v>1174</v>
      </c>
      <c r="N236">
        <v>1780</v>
      </c>
      <c r="O236" s="10" t="s">
        <v>1175</v>
      </c>
    </row>
    <row r="237" spans="1:15" x14ac:dyDescent="0.3">
      <c r="A237" s="10" t="s">
        <v>1176</v>
      </c>
      <c r="B237" s="10" t="s">
        <v>1177</v>
      </c>
      <c r="C237" s="10" t="s">
        <v>131</v>
      </c>
      <c r="D237" s="10" t="s">
        <v>132</v>
      </c>
      <c r="E237">
        <v>102173</v>
      </c>
      <c r="F237">
        <v>1918</v>
      </c>
      <c r="G237">
        <v>10640000</v>
      </c>
      <c r="H237">
        <v>72.400000000000006</v>
      </c>
      <c r="I237">
        <v>17000</v>
      </c>
      <c r="K237" s="10" t="s">
        <v>1178</v>
      </c>
      <c r="L237" s="10" t="s">
        <v>155</v>
      </c>
      <c r="M237" s="10" t="s">
        <v>1179</v>
      </c>
      <c r="N237">
        <v>1792</v>
      </c>
      <c r="O237" s="10" t="s">
        <v>1180</v>
      </c>
    </row>
    <row r="238" spans="1:15" x14ac:dyDescent="0.3">
      <c r="A238" s="10" t="s">
        <v>1181</v>
      </c>
      <c r="B238" s="10" t="s">
        <v>1182</v>
      </c>
      <c r="C238" s="10" t="s">
        <v>119</v>
      </c>
      <c r="D238" s="10" t="s">
        <v>291</v>
      </c>
      <c r="E238">
        <v>1221037</v>
      </c>
      <c r="F238">
        <v>1910</v>
      </c>
      <c r="G238">
        <v>40377000</v>
      </c>
      <c r="H238">
        <v>51.1</v>
      </c>
      <c r="I238">
        <v>116729</v>
      </c>
      <c r="J238">
        <v>129092</v>
      </c>
      <c r="K238" s="10" t="s">
        <v>1182</v>
      </c>
      <c r="L238" s="10" t="s">
        <v>121</v>
      </c>
      <c r="M238" s="10" t="s">
        <v>1183</v>
      </c>
      <c r="N238">
        <v>716</v>
      </c>
      <c r="O238" s="10" t="s">
        <v>1184</v>
      </c>
    </row>
    <row r="239" spans="1:15" x14ac:dyDescent="0.3">
      <c r="A239" s="10" t="s">
        <v>1185</v>
      </c>
      <c r="B239" s="10" t="s">
        <v>1186</v>
      </c>
      <c r="C239" s="10" t="s">
        <v>119</v>
      </c>
      <c r="D239" s="10" t="s">
        <v>203</v>
      </c>
      <c r="E239">
        <v>752618</v>
      </c>
      <c r="F239">
        <v>1964</v>
      </c>
      <c r="G239">
        <v>9169000</v>
      </c>
      <c r="H239">
        <v>37.200000000000003</v>
      </c>
      <c r="I239">
        <v>3377</v>
      </c>
      <c r="J239">
        <v>3922</v>
      </c>
      <c r="K239" s="10" t="s">
        <v>1186</v>
      </c>
      <c r="L239" s="10" t="s">
        <v>121</v>
      </c>
      <c r="M239" s="10" t="s">
        <v>1187</v>
      </c>
      <c r="N239">
        <v>3162</v>
      </c>
      <c r="O239" s="10" t="s">
        <v>1188</v>
      </c>
    </row>
    <row r="240" spans="1:15" x14ac:dyDescent="0.3">
      <c r="A240" s="10" t="s">
        <v>1189</v>
      </c>
      <c r="B240" s="10" t="s">
        <v>1190</v>
      </c>
      <c r="C240" s="10" t="s">
        <v>119</v>
      </c>
      <c r="D240" s="10" t="s">
        <v>203</v>
      </c>
      <c r="E240">
        <v>390757</v>
      </c>
      <c r="F240">
        <v>1980</v>
      </c>
      <c r="G240">
        <v>11669000</v>
      </c>
      <c r="H240">
        <v>37.799999999999997</v>
      </c>
      <c r="I240">
        <v>5951</v>
      </c>
      <c r="J240">
        <v>8670</v>
      </c>
      <c r="K240" s="10" t="s">
        <v>1190</v>
      </c>
      <c r="L240" s="10" t="s">
        <v>121</v>
      </c>
      <c r="M240" s="10" t="s">
        <v>1191</v>
      </c>
      <c r="N240">
        <v>4068</v>
      </c>
      <c r="O240" s="10" t="s">
        <v>1192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3AC017-A5D6-44E1-9775-8EF3005A92E9}">
  <dimension ref="A1:F13"/>
  <sheetViews>
    <sheetView workbookViewId="0">
      <selection activeCell="J11" sqref="J11"/>
    </sheetView>
  </sheetViews>
  <sheetFormatPr defaultRowHeight="15.6" x14ac:dyDescent="0.3"/>
  <cols>
    <col min="1" max="1" width="5.19921875" bestFit="1" customWidth="1"/>
    <col min="2" max="2" width="30.19921875" bestFit="1" customWidth="1"/>
    <col min="3" max="3" width="15.19921875" bestFit="1" customWidth="1"/>
    <col min="4" max="4" width="11.8984375" bestFit="1" customWidth="1"/>
    <col min="5" max="5" width="16.59765625" bestFit="1" customWidth="1"/>
    <col min="6" max="6" width="11.3984375" bestFit="1" customWidth="1"/>
  </cols>
  <sheetData>
    <row r="1" spans="1:6" x14ac:dyDescent="0.3">
      <c r="A1" t="s">
        <v>1193</v>
      </c>
      <c r="B1" t="s">
        <v>88</v>
      </c>
      <c r="C1" t="s">
        <v>2</v>
      </c>
      <c r="D1" t="s">
        <v>1194</v>
      </c>
      <c r="E1" t="s">
        <v>1195</v>
      </c>
      <c r="F1" t="s">
        <v>1196</v>
      </c>
    </row>
    <row r="2" spans="1:6" x14ac:dyDescent="0.3">
      <c r="A2" s="10" t="s">
        <v>1197</v>
      </c>
      <c r="B2" s="10" t="s">
        <v>1198</v>
      </c>
      <c r="C2" s="10" t="s">
        <v>464</v>
      </c>
      <c r="D2" s="11">
        <v>1605</v>
      </c>
      <c r="E2" s="10" t="s">
        <v>1199</v>
      </c>
      <c r="F2" s="10" t="s">
        <v>139</v>
      </c>
    </row>
    <row r="3" spans="1:6" x14ac:dyDescent="0.3">
      <c r="A3" s="10" t="s">
        <v>1200</v>
      </c>
      <c r="B3" s="10" t="s">
        <v>1201</v>
      </c>
      <c r="C3" s="10" t="s">
        <v>1202</v>
      </c>
      <c r="D3" s="11">
        <v>2347</v>
      </c>
      <c r="E3" s="10" t="s">
        <v>1203</v>
      </c>
      <c r="F3" s="10" t="s">
        <v>1204</v>
      </c>
    </row>
    <row r="4" spans="1:6" x14ac:dyDescent="0.3">
      <c r="A4" s="10" t="s">
        <v>1205</v>
      </c>
      <c r="B4" s="10" t="s">
        <v>1206</v>
      </c>
      <c r="C4" s="10" t="s">
        <v>840</v>
      </c>
      <c r="D4" s="11">
        <v>6872</v>
      </c>
      <c r="E4" s="10" t="s">
        <v>1207</v>
      </c>
      <c r="F4" s="10" t="s">
        <v>1208</v>
      </c>
    </row>
    <row r="5" spans="1:6" x14ac:dyDescent="0.3">
      <c r="A5" s="10" t="s">
        <v>1209</v>
      </c>
      <c r="B5" s="10" t="s">
        <v>1210</v>
      </c>
      <c r="C5" s="10" t="s">
        <v>464</v>
      </c>
      <c r="D5" s="11">
        <v>7731</v>
      </c>
      <c r="E5" s="10" t="s">
        <v>1211</v>
      </c>
      <c r="F5" s="10" t="s">
        <v>139</v>
      </c>
    </row>
    <row r="6" spans="1:6" x14ac:dyDescent="0.3">
      <c r="A6" s="10" t="s">
        <v>1212</v>
      </c>
      <c r="B6" s="10" t="s">
        <v>1213</v>
      </c>
      <c r="C6" s="10" t="s">
        <v>208</v>
      </c>
      <c r="D6" s="11">
        <v>19896</v>
      </c>
      <c r="E6" s="10" t="s">
        <v>1214</v>
      </c>
      <c r="F6" s="10" t="s">
        <v>1204</v>
      </c>
    </row>
    <row r="7" spans="1:6" x14ac:dyDescent="0.3">
      <c r="A7" s="10" t="s">
        <v>1215</v>
      </c>
      <c r="B7" s="10" t="s">
        <v>1216</v>
      </c>
      <c r="C7" s="10" t="s">
        <v>1202</v>
      </c>
      <c r="D7" s="11">
        <v>20615</v>
      </c>
      <c r="E7" s="10" t="s">
        <v>1217</v>
      </c>
      <c r="F7" s="10" t="s">
        <v>1204</v>
      </c>
    </row>
    <row r="8" spans="1:6" x14ac:dyDescent="0.3">
      <c r="A8" s="10" t="s">
        <v>1205</v>
      </c>
      <c r="B8" s="10" t="s">
        <v>1218</v>
      </c>
      <c r="C8" s="10" t="s">
        <v>306</v>
      </c>
      <c r="D8" s="11">
        <v>22365</v>
      </c>
      <c r="E8" s="10" t="s">
        <v>1219</v>
      </c>
      <c r="F8" s="10" t="s">
        <v>1208</v>
      </c>
    </row>
    <row r="9" spans="1:6" x14ac:dyDescent="0.3">
      <c r="A9" s="10" t="s">
        <v>1220</v>
      </c>
      <c r="B9" s="10" t="s">
        <v>1221</v>
      </c>
      <c r="C9" s="10" t="s">
        <v>1202</v>
      </c>
      <c r="D9" s="11">
        <v>22552</v>
      </c>
      <c r="E9" s="10" t="s">
        <v>1222</v>
      </c>
      <c r="F9" s="10" t="s">
        <v>139</v>
      </c>
    </row>
    <row r="10" spans="1:6" x14ac:dyDescent="0.3">
      <c r="A10" s="10" t="s">
        <v>1223</v>
      </c>
      <c r="B10" s="10" t="s">
        <v>1224</v>
      </c>
      <c r="C10" s="10" t="s">
        <v>263</v>
      </c>
      <c r="D10" s="11">
        <v>27157</v>
      </c>
      <c r="E10" s="10" t="s">
        <v>1225</v>
      </c>
      <c r="F10" s="10" t="s">
        <v>139</v>
      </c>
    </row>
    <row r="11" spans="1:6" x14ac:dyDescent="0.3">
      <c r="A11" s="10" t="s">
        <v>1226</v>
      </c>
      <c r="B11" s="10" t="s">
        <v>1227</v>
      </c>
      <c r="C11" s="10" t="s">
        <v>306</v>
      </c>
      <c r="D11" s="11">
        <v>35954</v>
      </c>
      <c r="E11" s="10" t="s">
        <v>1228</v>
      </c>
      <c r="F11" s="10" t="s">
        <v>1229</v>
      </c>
    </row>
    <row r="12" spans="1:6" x14ac:dyDescent="0.3">
      <c r="A12" s="10" t="s">
        <v>1205</v>
      </c>
      <c r="B12" s="10" t="s">
        <v>1230</v>
      </c>
      <c r="C12" s="10" t="s">
        <v>327</v>
      </c>
      <c r="D12" s="11">
        <v>42285</v>
      </c>
      <c r="E12" s="10" t="s">
        <v>1231</v>
      </c>
      <c r="F12" s="10" t="s">
        <v>1208</v>
      </c>
    </row>
    <row r="13" spans="1:6" x14ac:dyDescent="0.3">
      <c r="A13" s="10" t="s">
        <v>1232</v>
      </c>
      <c r="B13" s="10" t="s">
        <v>1233</v>
      </c>
      <c r="C13" s="10" t="s">
        <v>1234</v>
      </c>
      <c r="D13" s="11">
        <v>42426</v>
      </c>
      <c r="E13" s="10" t="s">
        <v>1235</v>
      </c>
      <c r="F13" s="10" t="s">
        <v>139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1CAC9-EB5B-4E7C-923C-AFC0FD5D2FD2}">
  <dimension ref="A1:B6"/>
  <sheetViews>
    <sheetView tabSelected="1" workbookViewId="0">
      <selection activeCell="L12" sqref="L12"/>
    </sheetView>
  </sheetViews>
  <sheetFormatPr defaultRowHeight="15.6" x14ac:dyDescent="0.3"/>
  <cols>
    <col min="1" max="1" width="12.09765625" bestFit="1" customWidth="1"/>
    <col min="2" max="2" width="15.296875" bestFit="1" customWidth="1"/>
  </cols>
  <sheetData>
    <row r="1" spans="1:2" x14ac:dyDescent="0.3">
      <c r="A1" t="s">
        <v>1236</v>
      </c>
      <c r="B1" t="s">
        <v>1237</v>
      </c>
    </row>
    <row r="2" spans="1:2" x14ac:dyDescent="0.3">
      <c r="A2">
        <v>1</v>
      </c>
      <c r="B2" s="10" t="s">
        <v>1238</v>
      </c>
    </row>
    <row r="3" spans="1:2" x14ac:dyDescent="0.3">
      <c r="A3">
        <v>2</v>
      </c>
      <c r="B3" s="10" t="s">
        <v>1239</v>
      </c>
    </row>
    <row r="4" spans="1:2" x14ac:dyDescent="0.3">
      <c r="A4">
        <v>3</v>
      </c>
      <c r="B4" s="10" t="s">
        <v>1240</v>
      </c>
    </row>
    <row r="5" spans="1:2" x14ac:dyDescent="0.3">
      <c r="A5">
        <v>4</v>
      </c>
      <c r="B5" s="10" t="s">
        <v>1241</v>
      </c>
    </row>
    <row r="6" spans="1:2" x14ac:dyDescent="0.3">
      <c r="A6">
        <v>5</v>
      </c>
      <c r="B6" s="10" t="s">
        <v>1242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35F532-0349-43A1-9A18-717FBEDCDB2A}">
  <dimension ref="A1:C6"/>
  <sheetViews>
    <sheetView workbookViewId="0">
      <selection activeCell="B5" sqref="B5"/>
    </sheetView>
  </sheetViews>
  <sheetFormatPr defaultRowHeight="15.6" x14ac:dyDescent="0.3"/>
  <cols>
    <col min="1" max="1" width="12.8984375" bestFit="1" customWidth="1"/>
    <col min="2" max="2" width="16.09765625" bestFit="1" customWidth="1"/>
    <col min="3" max="3" width="8.5" bestFit="1" customWidth="1"/>
  </cols>
  <sheetData>
    <row r="1" spans="1:3" x14ac:dyDescent="0.3">
      <c r="A1" t="s">
        <v>1243</v>
      </c>
      <c r="B1" t="s">
        <v>0</v>
      </c>
      <c r="C1" t="s">
        <v>90</v>
      </c>
    </row>
    <row r="2" spans="1:3" x14ac:dyDescent="0.3">
      <c r="A2">
        <v>201</v>
      </c>
      <c r="B2" s="10" t="s">
        <v>1244</v>
      </c>
      <c r="C2" s="10" t="s">
        <v>1245</v>
      </c>
    </row>
    <row r="3" spans="1:3" x14ac:dyDescent="0.3">
      <c r="A3">
        <v>202</v>
      </c>
      <c r="B3" s="10" t="s">
        <v>1246</v>
      </c>
      <c r="C3" s="10" t="s">
        <v>1247</v>
      </c>
    </row>
    <row r="4" spans="1:3" x14ac:dyDescent="0.3">
      <c r="A4">
        <v>203</v>
      </c>
      <c r="B4" s="10" t="s">
        <v>1248</v>
      </c>
      <c r="C4" s="10" t="s">
        <v>1249</v>
      </c>
    </row>
    <row r="5" spans="1:3" x14ac:dyDescent="0.3">
      <c r="A5">
        <v>204</v>
      </c>
      <c r="B5" s="10" t="s">
        <v>1250</v>
      </c>
      <c r="C5" s="10" t="s">
        <v>1251</v>
      </c>
    </row>
    <row r="6" spans="1:3" x14ac:dyDescent="0.3">
      <c r="A6">
        <v>205</v>
      </c>
      <c r="B6" s="10" t="s">
        <v>1252</v>
      </c>
      <c r="C6" s="10" t="s">
        <v>1247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33BA-2AFB-4EA7-A8CB-A6A0C16627A0}">
  <dimension ref="A1:C9"/>
  <sheetViews>
    <sheetView workbookViewId="0">
      <selection activeCell="B4" sqref="B4"/>
    </sheetView>
  </sheetViews>
  <sheetFormatPr defaultRowHeight="15.6" x14ac:dyDescent="0.3"/>
  <cols>
    <col min="1" max="1" width="11.296875" bestFit="1" customWidth="1"/>
    <col min="2" max="2" width="14.3984375" bestFit="1" customWidth="1"/>
    <col min="3" max="3" width="12.09765625" bestFit="1" customWidth="1"/>
  </cols>
  <sheetData>
    <row r="1" spans="1:3" x14ac:dyDescent="0.3">
      <c r="A1" t="s">
        <v>1253</v>
      </c>
      <c r="B1" t="s">
        <v>1254</v>
      </c>
      <c r="C1" t="s">
        <v>1236</v>
      </c>
    </row>
    <row r="2" spans="1:3" x14ac:dyDescent="0.3">
      <c r="A2">
        <v>101</v>
      </c>
      <c r="B2" s="10" t="s">
        <v>1255</v>
      </c>
      <c r="C2">
        <v>1</v>
      </c>
    </row>
    <row r="3" spans="1:3" x14ac:dyDescent="0.3">
      <c r="A3">
        <v>102</v>
      </c>
      <c r="B3" s="10" t="s">
        <v>1256</v>
      </c>
      <c r="C3">
        <v>2</v>
      </c>
    </row>
    <row r="4" spans="1:3" x14ac:dyDescent="0.3">
      <c r="A4">
        <v>103</v>
      </c>
      <c r="B4" s="10" t="s">
        <v>1257</v>
      </c>
      <c r="C4">
        <v>3</v>
      </c>
    </row>
    <row r="5" spans="1:3" x14ac:dyDescent="0.3">
      <c r="A5">
        <v>104</v>
      </c>
      <c r="B5" s="10" t="s">
        <v>1258</v>
      </c>
      <c r="C5">
        <v>1</v>
      </c>
    </row>
    <row r="6" spans="1:3" x14ac:dyDescent="0.3">
      <c r="A6">
        <v>105</v>
      </c>
      <c r="B6" s="10" t="s">
        <v>1259</v>
      </c>
      <c r="C6">
        <v>4</v>
      </c>
    </row>
    <row r="7" spans="1:3" x14ac:dyDescent="0.3">
      <c r="A7">
        <v>106</v>
      </c>
      <c r="B7" s="10" t="s">
        <v>1260</v>
      </c>
      <c r="C7">
        <v>4</v>
      </c>
    </row>
    <row r="8" spans="1:3" x14ac:dyDescent="0.3">
      <c r="A8">
        <v>107</v>
      </c>
      <c r="B8" s="10" t="s">
        <v>1261</v>
      </c>
      <c r="C8">
        <v>5</v>
      </c>
    </row>
    <row r="9" spans="1:3" x14ac:dyDescent="0.3">
      <c r="A9">
        <v>108</v>
      </c>
      <c r="B9" s="10" t="s">
        <v>1262</v>
      </c>
      <c r="C9">
        <v>2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253EF-7E93-4BFF-9EE8-20DE30032B83}">
  <dimension ref="A1:E10"/>
  <sheetViews>
    <sheetView workbookViewId="0">
      <selection activeCell="D5" sqref="D5"/>
    </sheetView>
  </sheetViews>
  <sheetFormatPr defaultRowHeight="15.6" x14ac:dyDescent="0.3"/>
  <cols>
    <col min="1" max="1" width="8.296875" bestFit="1" customWidth="1"/>
    <col min="2" max="2" width="12.8984375" bestFit="1" customWidth="1"/>
    <col min="3" max="3" width="11.296875" bestFit="1" customWidth="1"/>
    <col min="4" max="4" width="10" bestFit="1" customWidth="1"/>
    <col min="5" max="5" width="13.3984375" bestFit="1" customWidth="1"/>
  </cols>
  <sheetData>
    <row r="1" spans="1:5" x14ac:dyDescent="0.3">
      <c r="A1" t="s">
        <v>1263</v>
      </c>
      <c r="B1" t="s">
        <v>1243</v>
      </c>
      <c r="C1" t="s">
        <v>1253</v>
      </c>
      <c r="D1" t="s">
        <v>1264</v>
      </c>
      <c r="E1" t="s">
        <v>1265</v>
      </c>
    </row>
    <row r="2" spans="1:5" x14ac:dyDescent="0.3">
      <c r="A2">
        <v>1001</v>
      </c>
      <c r="B2">
        <v>201</v>
      </c>
      <c r="C2">
        <v>101</v>
      </c>
      <c r="D2">
        <v>2</v>
      </c>
      <c r="E2">
        <v>2000</v>
      </c>
    </row>
    <row r="3" spans="1:5" x14ac:dyDescent="0.3">
      <c r="A3">
        <v>1002</v>
      </c>
      <c r="B3">
        <v>202</v>
      </c>
      <c r="C3">
        <v>102</v>
      </c>
      <c r="D3">
        <v>1</v>
      </c>
      <c r="E3">
        <v>500</v>
      </c>
    </row>
    <row r="4" spans="1:5" x14ac:dyDescent="0.3">
      <c r="A4">
        <v>1003</v>
      </c>
      <c r="B4">
        <v>203</v>
      </c>
      <c r="C4">
        <v>103</v>
      </c>
      <c r="D4">
        <v>3</v>
      </c>
      <c r="E4">
        <v>150</v>
      </c>
    </row>
    <row r="5" spans="1:5" x14ac:dyDescent="0.3">
      <c r="A5">
        <v>1004</v>
      </c>
      <c r="B5">
        <v>201</v>
      </c>
      <c r="C5">
        <v>104</v>
      </c>
      <c r="D5">
        <v>1</v>
      </c>
      <c r="E5">
        <v>1000</v>
      </c>
    </row>
    <row r="6" spans="1:5" x14ac:dyDescent="0.3">
      <c r="A6">
        <v>1005</v>
      </c>
      <c r="B6">
        <v>204</v>
      </c>
      <c r="C6">
        <v>105</v>
      </c>
      <c r="D6">
        <v>4</v>
      </c>
      <c r="E6">
        <v>200</v>
      </c>
    </row>
    <row r="7" spans="1:5" x14ac:dyDescent="0.3">
      <c r="A7">
        <v>1006</v>
      </c>
      <c r="B7">
        <v>205</v>
      </c>
      <c r="C7">
        <v>106</v>
      </c>
      <c r="D7">
        <v>5</v>
      </c>
      <c r="E7">
        <v>400</v>
      </c>
    </row>
    <row r="8" spans="1:5" x14ac:dyDescent="0.3">
      <c r="A8">
        <v>1007</v>
      </c>
      <c r="B8">
        <v>201</v>
      </c>
      <c r="C8">
        <v>101</v>
      </c>
      <c r="D8">
        <v>6</v>
      </c>
      <c r="E8">
        <v>405</v>
      </c>
    </row>
    <row r="9" spans="1:5" x14ac:dyDescent="0.3">
      <c r="A9">
        <v>1008</v>
      </c>
      <c r="B9">
        <v>204</v>
      </c>
      <c r="C9">
        <v>103</v>
      </c>
      <c r="D9">
        <v>2</v>
      </c>
      <c r="E9">
        <v>3000</v>
      </c>
    </row>
    <row r="10" spans="1:5" x14ac:dyDescent="0.3">
      <c r="A10">
        <v>1009</v>
      </c>
      <c r="B10">
        <v>203</v>
      </c>
      <c r="C10">
        <v>102</v>
      </c>
      <c r="D10">
        <v>3</v>
      </c>
      <c r="E10">
        <v>1050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73D4CC83-63DF-4901-B556-3E9D5754D5A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94F6132E-9100-4FDA-8F42-5672283D9BA1}">
  <ds:schemaRefs/>
</ds:datastoreItem>
</file>

<file path=customXml/itemProps3.xml><?xml version="1.0" encoding="utf-8"?>
<ds:datastoreItem xmlns:ds="http://schemas.openxmlformats.org/officeDocument/2006/customXml" ds:itemID="{C3455BE7-93DE-4DB2-BA9A-5BD71B65746D}">
  <ds:schemaRefs/>
</ds:datastoreItem>
</file>

<file path=customXml/itemProps4.xml><?xml version="1.0" encoding="utf-8"?>
<ds:datastoreItem xmlns:ds="http://schemas.openxmlformats.org/officeDocument/2006/customXml" ds:itemID="{8A76E889-8BC0-4DB7-A3C6-36860148AC3A}">
  <ds:schemaRefs/>
</ds:datastoreItem>
</file>

<file path=customXml/itemProps5.xml><?xml version="1.0" encoding="utf-8"?>
<ds:datastoreItem xmlns:ds="http://schemas.openxmlformats.org/officeDocument/2006/customXml" ds:itemID="{89D604E3-1FF2-4480-91A4-67921916DF4A}">
  <ds:schemaRefs/>
</ds:datastoreItem>
</file>

<file path=customXml/itemProps6.xml><?xml version="1.0" encoding="utf-8"?>
<ds:datastoreItem xmlns:ds="http://schemas.openxmlformats.org/officeDocument/2006/customXml" ds:itemID="{F93BEB63-A4CB-4D10-B415-736571E80B84}">
  <ds:schemaRefs/>
</ds:datastoreItem>
</file>

<file path=customXml/itemProps7.xml><?xml version="1.0" encoding="utf-8"?>
<ds:datastoreItem xmlns:ds="http://schemas.openxmlformats.org/officeDocument/2006/customXml" ds:itemID="{68EDF04C-F9CC-4CAB-A7C6-913F14BA213A}">
  <ds:schemaRefs/>
</ds:datastoreItem>
</file>

<file path=customXml/itemProps8.xml><?xml version="1.0" encoding="utf-8"?>
<ds:datastoreItem xmlns:ds="http://schemas.openxmlformats.org/officeDocument/2006/customXml" ds:itemID="{072875D0-52A1-4571-B77E-D97BA35C2764}">
  <ds:schemaRefs/>
</ds:datastoreItem>
</file>

<file path=customXml/itemProps9.xml><?xml version="1.0" encoding="utf-8"?>
<ds:datastoreItem xmlns:ds="http://schemas.openxmlformats.org/officeDocument/2006/customXml" ds:itemID="{E513521A-1CD6-4093-98F4-B54EA6D07967}">
  <ds:schemaRefs/>
</ds:datastoreItem>
</file>

<file path=customXml/itemProps10.xml><?xml version="1.0" encoding="utf-8"?>
<ds:datastoreItem xmlns:ds="http://schemas.openxmlformats.org/officeDocument/2006/customXml" ds:itemID="{3E418078-6E61-4512-A3A2-E335D709A52D}">
  <ds:schemaRefs/>
</ds:datastoreItem>
</file>

<file path=customXml/itemProps11.xml><?xml version="1.0" encoding="utf-8"?>
<ds:datastoreItem xmlns:ds="http://schemas.openxmlformats.org/officeDocument/2006/customXml" ds:itemID="{4B19AE4D-948F-4FE4-9EDF-0A5182A0BF30}">
  <ds:schemaRefs/>
</ds:datastoreItem>
</file>

<file path=customXml/itemProps12.xml><?xml version="1.0" encoding="utf-8"?>
<ds:datastoreItem xmlns:ds="http://schemas.openxmlformats.org/officeDocument/2006/customXml" ds:itemID="{0A8BD09A-221E-48DB-B30E-0AF06BAE0F72}">
  <ds:schemaRefs/>
</ds:datastoreItem>
</file>

<file path=customXml/itemProps13.xml><?xml version="1.0" encoding="utf-8"?>
<ds:datastoreItem xmlns:ds="http://schemas.openxmlformats.org/officeDocument/2006/customXml" ds:itemID="{C01A1164-FBE9-4FB5-815F-C3D375F198CA}">
  <ds:schemaRefs/>
</ds:datastoreItem>
</file>

<file path=customXml/itemProps14.xml><?xml version="1.0" encoding="utf-8"?>
<ds:datastoreItem xmlns:ds="http://schemas.openxmlformats.org/officeDocument/2006/customXml" ds:itemID="{71ED9C03-7709-401F-9DA2-5CFACD170A08}">
  <ds:schemaRefs/>
</ds:datastoreItem>
</file>

<file path=customXml/itemProps15.xml><?xml version="1.0" encoding="utf-8"?>
<ds:datastoreItem xmlns:ds="http://schemas.openxmlformats.org/officeDocument/2006/customXml" ds:itemID="{D47810E9-2A30-4A17-A9C8-D9E9F335C7F9}">
  <ds:schemaRefs/>
</ds:datastoreItem>
</file>

<file path=customXml/itemProps16.xml><?xml version="1.0" encoding="utf-8"?>
<ds:datastoreItem xmlns:ds="http://schemas.openxmlformats.org/officeDocument/2006/customXml" ds:itemID="{D7147128-9C46-4265-951E-433352460D42}">
  <ds:schemaRefs/>
</ds:datastoreItem>
</file>

<file path=customXml/itemProps17.xml><?xml version="1.0" encoding="utf-8"?>
<ds:datastoreItem xmlns:ds="http://schemas.openxmlformats.org/officeDocument/2006/customXml" ds:itemID="{275EC64F-44D3-49B7-9B2D-8C9B4619BB44}">
  <ds:schemaRefs/>
</ds:datastoreItem>
</file>

<file path=customXml/itemProps18.xml><?xml version="1.0" encoding="utf-8"?>
<ds:datastoreItem xmlns:ds="http://schemas.openxmlformats.org/officeDocument/2006/customXml" ds:itemID="{DE089651-90A9-46E0-A5BC-1E60C8930639}">
  <ds:schemaRefs/>
</ds:datastoreItem>
</file>

<file path=customXml/itemProps19.xml><?xml version="1.0" encoding="utf-8"?>
<ds:datastoreItem xmlns:ds="http://schemas.openxmlformats.org/officeDocument/2006/customXml" ds:itemID="{88EEEBB3-4C7E-46DE-B02A-EED33099FE55}">
  <ds:schemaRefs/>
</ds:datastoreItem>
</file>

<file path=customXml/itemProps20.xml><?xml version="1.0" encoding="utf-8"?>
<ds:datastoreItem xmlns:ds="http://schemas.openxmlformats.org/officeDocument/2006/customXml" ds:itemID="{BEF2BB84-1BD3-4582-94E6-7FFC8342D429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2</vt:i4>
      </vt:variant>
    </vt:vector>
  </HeadingPairs>
  <TitlesOfParts>
    <vt:vector size="12" baseType="lpstr">
      <vt:lpstr>Sheet1</vt:lpstr>
      <vt:lpstr>Sheet2</vt:lpstr>
      <vt:lpstr>Sheet3</vt:lpstr>
      <vt:lpstr>Sheet4</vt:lpstr>
      <vt:lpstr>world country</vt:lpstr>
      <vt:lpstr>Table 1</vt:lpstr>
      <vt:lpstr>Sheet5</vt:lpstr>
      <vt:lpstr>Sheet6</vt:lpstr>
      <vt:lpstr>Sheet7</vt:lpstr>
      <vt:lpstr>Sheet8</vt:lpstr>
      <vt:lpstr>Amount</vt:lpstr>
      <vt:lpstr>table1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Aamit makode</dc:creator>
  <cp:lastModifiedBy>Aamit makode</cp:lastModifiedBy>
  <dcterms:created xsi:type="dcterms:W3CDTF">2026-05-19T03:51:15Z</dcterms:created>
  <dcterms:modified xsi:type="dcterms:W3CDTF">2026-05-19T04:54:07Z</dcterms:modified>
</cp:coreProperties>
</file>