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itm\downloads\"/>
    </mc:Choice>
  </mc:AlternateContent>
  <xr:revisionPtr revIDLastSave="0" documentId="8_{FA6B232B-7268-42FA-84FC-8E645F885F4C}" xr6:coauthVersionLast="47" xr6:coauthVersionMax="47" xr10:uidLastSave="{00000000-0000-0000-0000-000000000000}"/>
  <bookViews>
    <workbookView xWindow="-108" yWindow="-108" windowWidth="23256" windowHeight="12456" tabRatio="580" activeTab="1" xr2:uid="{B174A727-087F-44FE-BE06-8CA137D4716D}"/>
  </bookViews>
  <sheets>
    <sheet name="Sheet3" sheetId="3" r:id="rId1"/>
    <sheet name="Sheet5" sheetId="5" r:id="rId2"/>
    <sheet name="Sheet2" sheetId="2" r:id="rId3"/>
    <sheet name="Sheet1" sheetId="1" r:id="rId4"/>
  </sheets>
  <definedNames>
    <definedName name="_xlnm._FilterDatabase" localSheetId="0" hidden="1">Sheet3!$A$1:$I$24</definedName>
    <definedName name="_xlnm._FilterDatabase" localSheetId="1" hidden="1">Sheet5!$A$1:$G$26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26" i="5" l="1"/>
  <c r="D25" i="5"/>
  <c r="C25" i="5"/>
  <c r="E2" i="5"/>
  <c r="E18" i="5"/>
  <c r="E3" i="5"/>
  <c r="E5" i="5"/>
  <c r="E11" i="5"/>
  <c r="E12" i="5"/>
  <c r="E13" i="5"/>
  <c r="E19" i="5"/>
  <c r="E6" i="5"/>
  <c r="E8" i="5"/>
  <c r="E23" i="5"/>
  <c r="E9" i="5"/>
  <c r="E17" i="5"/>
  <c r="E14" i="5"/>
  <c r="E15" i="5"/>
  <c r="E7" i="5"/>
  <c r="E24" i="5"/>
  <c r="E16" i="5"/>
  <c r="E20" i="5"/>
  <c r="E25" i="5" l="1"/>
</calcChain>
</file>

<file path=xl/sharedStrings.xml><?xml version="1.0" encoding="utf-8"?>
<sst xmlns="http://schemas.openxmlformats.org/spreadsheetml/2006/main" count="1146" uniqueCount="158">
  <si>
    <t>TransactionID</t>
  </si>
  <si>
    <t>TransactionDate</t>
  </si>
  <si>
    <t>AccountID</t>
  </si>
  <si>
    <t>CustomerID</t>
  </si>
  <si>
    <t>CustomerName</t>
  </si>
  <si>
    <t>Branch</t>
  </si>
  <si>
    <t>Country</t>
  </si>
  <si>
    <t>TransactionType</t>
  </si>
  <si>
    <t>Category</t>
  </si>
  <si>
    <t>TXN0000001</t>
  </si>
  <si>
    <t>2022-08-01</t>
  </si>
  <si>
    <t>ACC100253</t>
  </si>
  <si>
    <t>CUST10125</t>
  </si>
  <si>
    <t>Aisha Singh</t>
  </si>
  <si>
    <t>London</t>
  </si>
  <si>
    <t>UK</t>
  </si>
  <si>
    <t>Withdrawal</t>
  </si>
  <si>
    <t>Dining</t>
  </si>
  <si>
    <t>TXN0000002</t>
  </si>
  <si>
    <t>2022-07-14</t>
  </si>
  <si>
    <t>ACC100275</t>
  </si>
  <si>
    <t>CUST10137</t>
  </si>
  <si>
    <t>David Mueller</t>
  </si>
  <si>
    <t>Tokyo</t>
  </si>
  <si>
    <t>Japan</t>
  </si>
  <si>
    <t>Fee</t>
  </si>
  <si>
    <t>Other</t>
  </si>
  <si>
    <t>TXN0000003</t>
  </si>
  <si>
    <t>2024-01-23</t>
  </si>
  <si>
    <t>ACC100012</t>
  </si>
  <si>
    <t>CUST10006</t>
  </si>
  <si>
    <t>Mohammed Sato</t>
  </si>
  <si>
    <t>Toronto</t>
  </si>
  <si>
    <t>Canada</t>
  </si>
  <si>
    <t>TXN0000004</t>
  </si>
  <si>
    <t>2023-06-17</t>
  </si>
  <si>
    <t>ACC100307</t>
  </si>
  <si>
    <t>CUST10152</t>
  </si>
  <si>
    <t>Richard Harris</t>
  </si>
  <si>
    <t>New York</t>
  </si>
  <si>
    <t>USA</t>
  </si>
  <si>
    <t>Entertainment</t>
  </si>
  <si>
    <t>TXN0000005</t>
  </si>
  <si>
    <t>2024-03-30</t>
  </si>
  <si>
    <t>ACC100160</t>
  </si>
  <si>
    <t>CUST10076</t>
  </si>
  <si>
    <t>Susan Miller</t>
  </si>
  <si>
    <t>Shopping</t>
  </si>
  <si>
    <t>TXN0000006</t>
  </si>
  <si>
    <t>2024-07-25</t>
  </si>
  <si>
    <t>ACC100204</t>
  </si>
  <si>
    <t>CUST10099</t>
  </si>
  <si>
    <t>Kenji Sato</t>
  </si>
  <si>
    <t>Sydney</t>
  </si>
  <si>
    <t>Australia</t>
  </si>
  <si>
    <t>Payment</t>
  </si>
  <si>
    <t>Education</t>
  </si>
  <si>
    <t>TXN0000007</t>
  </si>
  <si>
    <t>2025-07-02</t>
  </si>
  <si>
    <t>ACC100094</t>
  </si>
  <si>
    <t>CUST10045</t>
  </si>
  <si>
    <t>Joseph Wilson</t>
  </si>
  <si>
    <t>Singapore</t>
  </si>
  <si>
    <t>Deposit</t>
  </si>
  <si>
    <t>Salary</t>
  </si>
  <si>
    <t>TXN0000008</t>
  </si>
  <si>
    <t>2025-09-25</t>
  </si>
  <si>
    <t>ACC100367</t>
  </si>
  <si>
    <t>CUST10178</t>
  </si>
  <si>
    <t>Charles Park</t>
  </si>
  <si>
    <t>TXN0000009</t>
  </si>
  <si>
    <t>2024-05-29</t>
  </si>
  <si>
    <t>ACC100169</t>
  </si>
  <si>
    <t>CUST10080</t>
  </si>
  <si>
    <t>Wei White</t>
  </si>
  <si>
    <t>Frankfurt</t>
  </si>
  <si>
    <t>Germany</t>
  </si>
  <si>
    <t>Insurance</t>
  </si>
  <si>
    <t>TXN0000010</t>
  </si>
  <si>
    <t>2022-05-22</t>
  </si>
  <si>
    <t>ACC100465</t>
  </si>
  <si>
    <t>CUST10226</t>
  </si>
  <si>
    <t>David Wilson</t>
  </si>
  <si>
    <t>TXN0000011</t>
  </si>
  <si>
    <t>2024-11-29</t>
  </si>
  <si>
    <t>ACC100370</t>
  </si>
  <si>
    <t>CUST10179</t>
  </si>
  <si>
    <t>Michael Lopez</t>
  </si>
  <si>
    <t>TXN0000012</t>
  </si>
  <si>
    <t>2025-12-30</t>
  </si>
  <si>
    <t>ACC100359</t>
  </si>
  <si>
    <t>CUST10175</t>
  </si>
  <si>
    <t>Deepa Mueller</t>
  </si>
  <si>
    <t>TXN0000013</t>
  </si>
  <si>
    <t>2024-10-17</t>
  </si>
  <si>
    <t>ACC100232</t>
  </si>
  <si>
    <t>CUST10113</t>
  </si>
  <si>
    <t>Li Brown</t>
  </si>
  <si>
    <t>Transfer</t>
  </si>
  <si>
    <t>TXN0000014</t>
  </si>
  <si>
    <t>2025-11-22</t>
  </si>
  <si>
    <t>ACC100107</t>
  </si>
  <si>
    <t>CUST10052</t>
  </si>
  <si>
    <t>Raj Liu</t>
  </si>
  <si>
    <t>Investment</t>
  </si>
  <si>
    <t>TXN0000015</t>
  </si>
  <si>
    <t>2024-08-11</t>
  </si>
  <si>
    <t>ACC100382</t>
  </si>
  <si>
    <t>CUST10185</t>
  </si>
  <si>
    <t>Priya Thomas</t>
  </si>
  <si>
    <t>TXN0000016</t>
  </si>
  <si>
    <t>2025-07-14</t>
  </si>
  <si>
    <t>ACC100366</t>
  </si>
  <si>
    <t>CUST10177</t>
  </si>
  <si>
    <t>Anil Gonzalez</t>
  </si>
  <si>
    <t>Loan</t>
  </si>
  <si>
    <t>TXN0000017</t>
  </si>
  <si>
    <t>2024-02-19</t>
  </si>
  <si>
    <t>ACC100479</t>
  </si>
  <si>
    <t>CUST10233</t>
  </si>
  <si>
    <t>Charles Rodriguez</t>
  </si>
  <si>
    <t>Dubai</t>
  </si>
  <si>
    <t>UAE</t>
  </si>
  <si>
    <t>TXN0000018</t>
  </si>
  <si>
    <t>2023-09-18</t>
  </si>
  <si>
    <t>ACC100152</t>
  </si>
  <si>
    <t>CUST10071</t>
  </si>
  <si>
    <t>Kenji Sharma</t>
  </si>
  <si>
    <t>TXN0000019</t>
  </si>
  <si>
    <t>2024-01-12</t>
  </si>
  <si>
    <t>ACC100269</t>
  </si>
  <si>
    <t>CUST10133</t>
  </si>
  <si>
    <t>Michael Jones</t>
  </si>
  <si>
    <t>Mumbai</t>
  </si>
  <si>
    <t>India</t>
  </si>
  <si>
    <t>TXN0000020</t>
  </si>
  <si>
    <t>2025-10-26</t>
  </si>
  <si>
    <t>ACC100134</t>
  </si>
  <si>
    <t>CUST10064</t>
  </si>
  <si>
    <t>Aisha Ahmed</t>
  </si>
  <si>
    <t>Hong Kong</t>
  </si>
  <si>
    <t>China</t>
  </si>
  <si>
    <t>TXN0000021</t>
  </si>
  <si>
    <t>2023-01-14</t>
  </si>
  <si>
    <t>ACC100381</t>
  </si>
  <si>
    <t>CUST10184</t>
  </si>
  <si>
    <t>Li Martin</t>
  </si>
  <si>
    <t>TXN0000022</t>
  </si>
  <si>
    <t>2022-05-05</t>
  </si>
  <si>
    <t>ACC100161</t>
  </si>
  <si>
    <t>Rent</t>
  </si>
  <si>
    <t>TXN0000023</t>
  </si>
  <si>
    <t>2023-11-02</t>
  </si>
  <si>
    <t>ACC100045</t>
  </si>
  <si>
    <t>CUST10022</t>
  </si>
  <si>
    <t>Aisha Kumar</t>
  </si>
  <si>
    <t>sales</t>
  </si>
  <si>
    <t>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</si>
</sst>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₹&quot;\ #,##0.00;[Red]&quot;₹&quot;\ \-#,##0.00"/>
  </numFmts>
  <fonts count="5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strike/>
      <sz val="12"/>
      <color theme="1"/>
      <name val="Aptos Narrow"/>
      <family val="2"/>
      <scheme val="minor"/>
    </font>
    <font>
      <sz val="12"/>
      <color theme="1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0">
    <xf numFmtId="0" fontId="0" fillId="0" borderId="0" xfId="0"/>
    <xf numFmtId="0" fontId="0" fillId="2" borderId="1" xfId="0" applyFont="1" applyFill="1" applyBorder="1"/>
    <xf numFmtId="0" fontId="0" fillId="2" borderId="2" xfId="0" applyFont="1" applyFill="1" applyBorder="1"/>
    <xf numFmtId="0" fontId="0" fillId="2" borderId="3" xfId="0" applyFont="1" applyFill="1" applyBorder="1"/>
    <xf numFmtId="0" fontId="0" fillId="0" borderId="1" xfId="0" applyFont="1" applyBorder="1"/>
    <xf numFmtId="0" fontId="0" fillId="0" borderId="2" xfId="0" applyFont="1" applyBorder="1"/>
    <xf numFmtId="0" fontId="0" fillId="0" borderId="3" xfId="0" applyFont="1" applyBorder="1"/>
    <xf numFmtId="0" fontId="1" fillId="0" borderId="0" xfId="0" applyFont="1"/>
    <xf numFmtId="0" fontId="3" fillId="0" borderId="0" xfId="0" applyFont="1"/>
    <xf numFmtId="49" fontId="1" fillId="0" borderId="0" xfId="0" applyNumberFormat="1" applyFont="1"/>
    <xf numFmtId="49" fontId="0" fillId="0" borderId="0" xfId="0" applyNumberFormat="1"/>
    <xf numFmtId="14" fontId="0" fillId="0" borderId="0" xfId="0" applyNumberFormat="1"/>
    <xf numFmtId="15" fontId="0" fillId="0" borderId="0" xfId="0" applyNumberFormat="1"/>
    <xf numFmtId="20" fontId="0" fillId="0" borderId="0" xfId="0" applyNumberFormat="1"/>
    <xf numFmtId="8" fontId="0" fillId="0" borderId="0" xfId="0" applyNumberFormat="1"/>
    <xf numFmtId="0" fontId="2" fillId="0" borderId="0" xfId="1"/>
    <xf numFmtId="0" fontId="4" fillId="0" borderId="0" xfId="1" applyFont="1"/>
    <xf numFmtId="0" fontId="0" fillId="3" borderId="0" xfId="0" applyFill="1"/>
    <xf numFmtId="0" fontId="0" fillId="4" borderId="0" xfId="0" applyFill="1"/>
    <xf numFmtId="0" fontId="2" fillId="2" borderId="2" xfId="1" applyFont="1" applyFill="1" applyBorder="1"/>
    <xf numFmtId="0" fontId="1" fillId="4" borderId="0" xfId="0" applyFont="1" applyFill="1"/>
    <xf numFmtId="0" fontId="1" fillId="5" borderId="0" xfId="0" applyFont="1" applyFill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 vertical="top" textRotation="45"/>
    </xf>
    <xf numFmtId="0" fontId="0" fillId="0" borderId="0" xfId="0" applyAlignment="1">
      <alignment horizontal="right" indent="3"/>
    </xf>
    <xf numFmtId="0" fontId="0" fillId="0" borderId="0" xfId="0" applyAlignment="1"/>
    <xf numFmtId="0" fontId="0" fillId="0" borderId="0" xfId="0" applyAlignment="1">
      <alignment horizontal="center"/>
    </xf>
    <xf numFmtId="0" fontId="0" fillId="0" borderId="0" xfId="0"/>
  </cellXfs>
  <cellStyles count="2">
    <cellStyle name="Hyperlink" xfId="1" builtinId="8"/>
    <cellStyle name="Normal" xfId="0" builtinId="0"/>
  </cellStyles>
  <dxfs count="7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9"/>
      </font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9"/>
      </font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9"/>
      </font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9"/>
      </font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9"/>
      </font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9"/>
      </font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9"/>
      </font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9"/>
      </font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9"/>
      </font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9"/>
      </font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9"/>
      </font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9"/>
      </font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9"/>
      </font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9"/>
      </font>
    </dxf>
    <dxf>
      <font>
        <b/>
        <i val="0"/>
        <color theme="9"/>
      </font>
    </dxf>
    <dxf>
      <font>
        <color rgb="FF9C0006"/>
      </font>
    </dxf>
    <dxf>
      <font>
        <b/>
        <i val="0"/>
        <color theme="9"/>
      </font>
      <fill>
        <patternFill>
          <bgColor rgb="FFFFC7CE"/>
        </patternFill>
      </fill>
    </dxf>
    <dxf>
      <font>
        <b/>
        <i val="0"/>
        <color theme="9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0D4D720-4B52-4480-AC91-452123FCBF19}" name="fristtable" displayName="fristtable" ref="B3:J26" totalsRowShown="0">
  <autoFilter ref="B3:J26" xr:uid="{F0D4D720-4B52-4480-AC91-452123FCBF19}"/>
  <tableColumns count="9">
    <tableColumn id="1" xr3:uid="{7A9F83F0-7158-47AD-998A-11BCF158A425}" name="TransactionID"/>
    <tableColumn id="2" xr3:uid="{640397F1-694E-421D-9E6A-F2BD990BD193}" name="TransactionDate"/>
    <tableColumn id="3" xr3:uid="{E019F434-E234-47D3-8685-8F8F88FECDD4}" name="AccountID"/>
    <tableColumn id="4" xr3:uid="{D5100429-6D8A-4997-806E-D2E097BF1B96}" name="CustomerID"/>
    <tableColumn id="5" xr3:uid="{CB984838-57E6-46BC-A403-E24868A69A32}" name="CustomerName"/>
    <tableColumn id="6" xr3:uid="{F756C981-8322-41FC-971D-EF97C6F03E89}" name="Branch"/>
    <tableColumn id="7" xr3:uid="{2232961B-4A37-4359-9661-AE150762E52E}" name="Country"/>
    <tableColumn id="8" xr3:uid="{653DBF97-3B6B-4530-ADDF-5178735200D8}" name="TransactionType"/>
    <tableColumn id="9" xr3:uid="{3F9D255A-CC0B-45AA-A4C5-D5ADE5D143FA}" name="Categor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hyperlink" Target="https://www.newyorktickets.com/attractions/landmarks-in-new-york/?ci=2&amp;cm=555764102_1306221113891786_c_o_activities%20in%20new%20york_p_%7bextensionid%7d&amp;msclkid=071253eb17fa165c8c0b39e8eb275056&amp;utm_source=bing&amp;utm_medium=cpc&amp;utm_campaign=New%20York%20-%20Things%20To%20Do%20-%20English%20-%20All%20-%20Search%20-%20All%20-%20All&amp;utm_term=activities%20in%20new%20york&amp;utm_content=Generic%20-%20Broad%20-%20English%20-%20Activities" TargetMode="External"/><Relationship Id="rId1" Type="http://schemas.openxmlformats.org/officeDocument/2006/relationships/hyperlink" Target="https://www.newyorktickets.com/attractions/landmarks-in-new-york/?ci=2&amp;cm=555764102_1306221113891786_c_o_activities%20in%20new%20york_p_%7bextensionid%7d&amp;msclkid=071253eb17fa165c8c0b39e8eb275056&amp;utm_source=bing&amp;utm_medium=cpc&amp;utm_campaign=New%20York%20-%20Things%20To%20Do%20-%20English%20-%20All%20-%20Search%20-%20All%20-%20All&amp;utm_term=activities%20in%20new%20york&amp;utm_content=Generic%20-%20Broad%20-%20English%20-%20Activitie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54C945-4257-4D5E-B16D-581C778C248B}">
  <dimension ref="A1:AA39"/>
  <sheetViews>
    <sheetView zoomScaleNormal="100" workbookViewId="0">
      <selection activeCell="O17" sqref="O17"/>
    </sheetView>
  </sheetViews>
  <sheetFormatPr defaultRowHeight="15.6" x14ac:dyDescent="0.3"/>
  <cols>
    <col min="1" max="1" width="12.09765625" bestFit="1" customWidth="1"/>
    <col min="2" max="2" width="14.296875" style="10" bestFit="1" customWidth="1"/>
    <col min="3" max="3" width="10.59765625" customWidth="1"/>
    <col min="4" max="4" width="10.69921875" bestFit="1" customWidth="1"/>
    <col min="5" max="5" width="10.69921875" customWidth="1"/>
    <col min="6" max="6" width="9.3984375" bestFit="1" customWidth="1"/>
    <col min="8" max="8" width="14.09765625" bestFit="1" customWidth="1"/>
    <col min="9" max="9" width="28.3984375" style="23" customWidth="1"/>
    <col min="11" max="11" width="16.8984375" bestFit="1" customWidth="1"/>
    <col min="12" max="12" width="11.09765625" bestFit="1" customWidth="1"/>
  </cols>
  <sheetData>
    <row r="1" spans="1:14" x14ac:dyDescent="0.3">
      <c r="A1" s="20" t="s">
        <v>0</v>
      </c>
      <c r="B1" s="20" t="s">
        <v>1</v>
      </c>
      <c r="C1" s="20" t="s">
        <v>2</v>
      </c>
      <c r="D1" s="20" t="s">
        <v>3</v>
      </c>
      <c r="E1" s="20" t="s">
        <v>4</v>
      </c>
      <c r="F1" s="7" t="s">
        <v>5</v>
      </c>
      <c r="G1" s="7" t="s">
        <v>6</v>
      </c>
      <c r="H1" s="7" t="s">
        <v>7</v>
      </c>
      <c r="I1" s="22" t="s">
        <v>8</v>
      </c>
    </row>
    <row r="2" spans="1:14" ht="61.8" customHeight="1" x14ac:dyDescent="0.3">
      <c r="A2" s="21" t="s">
        <v>9</v>
      </c>
      <c r="B2" s="21" t="s">
        <v>10</v>
      </c>
      <c r="C2" s="21" t="s">
        <v>11</v>
      </c>
      <c r="D2" s="21" t="s">
        <v>12</v>
      </c>
      <c r="E2" s="21" t="s">
        <v>13</v>
      </c>
      <c r="F2" t="s">
        <v>14</v>
      </c>
      <c r="G2" t="s">
        <v>15</v>
      </c>
      <c r="H2" t="s">
        <v>16</v>
      </c>
      <c r="I2" s="25" t="s">
        <v>17</v>
      </c>
      <c r="J2" s="28"/>
      <c r="K2" s="28"/>
    </row>
    <row r="3" spans="1:14" x14ac:dyDescent="0.3">
      <c r="A3" s="21" t="s">
        <v>18</v>
      </c>
      <c r="B3" s="21" t="s">
        <v>19</v>
      </c>
      <c r="C3" s="21" t="s">
        <v>20</v>
      </c>
      <c r="D3" s="21" t="s">
        <v>21</v>
      </c>
      <c r="E3" s="21" t="s">
        <v>22</v>
      </c>
      <c r="F3" t="s">
        <v>23</v>
      </c>
      <c r="G3" t="s">
        <v>24</v>
      </c>
      <c r="H3" t="s">
        <v>25</v>
      </c>
      <c r="I3" s="26" t="s">
        <v>26</v>
      </c>
      <c r="K3" s="12">
        <v>45797</v>
      </c>
      <c r="L3" t="s">
        <v>9</v>
      </c>
      <c r="M3" s="29"/>
      <c r="N3" s="29"/>
    </row>
    <row r="4" spans="1:14" x14ac:dyDescent="0.3">
      <c r="A4" s="21" t="s">
        <v>27</v>
      </c>
      <c r="B4" s="21" t="s">
        <v>28</v>
      </c>
      <c r="C4" s="21" t="s">
        <v>29</v>
      </c>
      <c r="D4" s="21" t="s">
        <v>30</v>
      </c>
      <c r="E4" s="21" t="s">
        <v>31</v>
      </c>
      <c r="F4" t="s">
        <v>32</v>
      </c>
      <c r="G4" t="s">
        <v>33</v>
      </c>
      <c r="H4" t="s">
        <v>16</v>
      </c>
      <c r="I4" s="26" t="s">
        <v>17</v>
      </c>
      <c r="K4" s="12">
        <v>45797</v>
      </c>
      <c r="L4" t="s">
        <v>18</v>
      </c>
      <c r="M4" s="29"/>
      <c r="N4" s="29"/>
    </row>
    <row r="5" spans="1:14" x14ac:dyDescent="0.3">
      <c r="A5" s="21" t="s">
        <v>34</v>
      </c>
      <c r="B5" s="21" t="s">
        <v>35</v>
      </c>
      <c r="C5" s="21" t="s">
        <v>36</v>
      </c>
      <c r="D5" s="21" t="s">
        <v>37</v>
      </c>
      <c r="E5" s="21" t="s">
        <v>38</v>
      </c>
      <c r="F5" t="s">
        <v>39</v>
      </c>
      <c r="G5" t="s">
        <v>40</v>
      </c>
      <c r="H5" t="s">
        <v>16</v>
      </c>
      <c r="I5" s="26" t="s">
        <v>41</v>
      </c>
      <c r="K5" s="12">
        <v>45797</v>
      </c>
      <c r="L5" t="s">
        <v>27</v>
      </c>
      <c r="M5" s="29"/>
      <c r="N5" s="29"/>
    </row>
    <row r="6" spans="1:14" x14ac:dyDescent="0.3">
      <c r="A6" s="21" t="s">
        <v>42</v>
      </c>
      <c r="B6" s="21" t="s">
        <v>43</v>
      </c>
      <c r="C6" s="21" t="s">
        <v>44</v>
      </c>
      <c r="D6" s="21" t="s">
        <v>45</v>
      </c>
      <c r="E6" s="21" t="s">
        <v>46</v>
      </c>
      <c r="F6" t="s">
        <v>39</v>
      </c>
      <c r="G6" t="s">
        <v>40</v>
      </c>
      <c r="H6" t="s">
        <v>16</v>
      </c>
      <c r="I6" s="26" t="s">
        <v>47</v>
      </c>
      <c r="K6" s="12">
        <v>45797</v>
      </c>
      <c r="L6" t="s">
        <v>34</v>
      </c>
      <c r="M6" s="29"/>
      <c r="N6" s="29"/>
    </row>
    <row r="7" spans="1:14" x14ac:dyDescent="0.3">
      <c r="A7" s="21" t="s">
        <v>48</v>
      </c>
      <c r="B7" s="21" t="s">
        <v>49</v>
      </c>
      <c r="C7" s="21" t="s">
        <v>50</v>
      </c>
      <c r="D7" s="21" t="s">
        <v>51</v>
      </c>
      <c r="E7" s="21" t="s">
        <v>52</v>
      </c>
      <c r="F7" t="s">
        <v>53</v>
      </c>
      <c r="G7" s="8" t="s">
        <v>54</v>
      </c>
      <c r="H7" t="s">
        <v>55</v>
      </c>
      <c r="I7" s="26" t="s">
        <v>56</v>
      </c>
      <c r="K7" s="12">
        <v>45797</v>
      </c>
      <c r="L7" t="s">
        <v>42</v>
      </c>
      <c r="M7" s="29"/>
      <c r="N7" s="29"/>
    </row>
    <row r="8" spans="1:14" x14ac:dyDescent="0.3">
      <c r="A8" s="21" t="s">
        <v>57</v>
      </c>
      <c r="B8" s="21" t="s">
        <v>58</v>
      </c>
      <c r="C8" s="21" t="s">
        <v>59</v>
      </c>
      <c r="D8" s="21" t="s">
        <v>60</v>
      </c>
      <c r="E8" s="21" t="s">
        <v>61</v>
      </c>
      <c r="F8" t="s">
        <v>62</v>
      </c>
      <c r="G8" t="s">
        <v>62</v>
      </c>
      <c r="H8" t="s">
        <v>63</v>
      </c>
      <c r="I8" s="26" t="s">
        <v>64</v>
      </c>
      <c r="L8" t="s">
        <v>48</v>
      </c>
      <c r="M8" s="29"/>
      <c r="N8" s="29"/>
    </row>
    <row r="9" spans="1:14" x14ac:dyDescent="0.3">
      <c r="A9" s="21" t="s">
        <v>65</v>
      </c>
      <c r="B9" s="21" t="s">
        <v>66</v>
      </c>
      <c r="C9" s="21" t="s">
        <v>67</v>
      </c>
      <c r="D9" s="21" t="s">
        <v>68</v>
      </c>
      <c r="E9" s="21" t="s">
        <v>69</v>
      </c>
      <c r="F9" t="s">
        <v>39</v>
      </c>
      <c r="G9" s="16" t="s">
        <v>40</v>
      </c>
      <c r="H9" t="s">
        <v>63</v>
      </c>
      <c r="I9" s="26" t="s">
        <v>64</v>
      </c>
      <c r="L9" t="s">
        <v>57</v>
      </c>
      <c r="M9" s="29"/>
      <c r="N9" s="29"/>
    </row>
    <row r="10" spans="1:14" x14ac:dyDescent="0.3">
      <c r="A10" s="21" t="s">
        <v>70</v>
      </c>
      <c r="B10" s="21" t="s">
        <v>71</v>
      </c>
      <c r="C10" s="21" t="s">
        <v>72</v>
      </c>
      <c r="D10" s="21" t="s">
        <v>73</v>
      </c>
      <c r="E10" s="21" t="s">
        <v>74</v>
      </c>
      <c r="F10" t="s">
        <v>75</v>
      </c>
      <c r="G10" t="s">
        <v>76</v>
      </c>
      <c r="H10" t="s">
        <v>55</v>
      </c>
      <c r="I10" s="26" t="s">
        <v>77</v>
      </c>
    </row>
    <row r="11" spans="1:14" x14ac:dyDescent="0.3">
      <c r="A11" s="21" t="s">
        <v>78</v>
      </c>
      <c r="B11" s="21" t="s">
        <v>79</v>
      </c>
      <c r="C11" s="21" t="s">
        <v>80</v>
      </c>
      <c r="D11" s="21" t="s">
        <v>81</v>
      </c>
      <c r="E11" s="21" t="s">
        <v>82</v>
      </c>
      <c r="F11" t="s">
        <v>32</v>
      </c>
      <c r="G11" t="s">
        <v>33</v>
      </c>
      <c r="H11" t="s">
        <v>55</v>
      </c>
      <c r="I11" s="26" t="s">
        <v>47</v>
      </c>
      <c r="K11" s="14">
        <v>322646</v>
      </c>
    </row>
    <row r="12" spans="1:14" x14ac:dyDescent="0.3">
      <c r="A12" s="21" t="s">
        <v>83</v>
      </c>
      <c r="B12" s="21" t="s">
        <v>84</v>
      </c>
      <c r="C12" s="21" t="s">
        <v>85</v>
      </c>
      <c r="D12" s="21" t="s">
        <v>86</v>
      </c>
      <c r="E12" s="21" t="s">
        <v>87</v>
      </c>
      <c r="F12" t="s">
        <v>32</v>
      </c>
      <c r="G12" t="s">
        <v>33</v>
      </c>
      <c r="H12" s="8" t="s">
        <v>25</v>
      </c>
      <c r="I12" s="26" t="s">
        <v>26</v>
      </c>
      <c r="K12" s="14">
        <v>52346465</v>
      </c>
    </row>
    <row r="13" spans="1:14" x14ac:dyDescent="0.3">
      <c r="A13" t="s">
        <v>88</v>
      </c>
      <c r="B13" s="10" t="s">
        <v>89</v>
      </c>
      <c r="C13" t="s">
        <v>90</v>
      </c>
      <c r="D13" t="s">
        <v>91</v>
      </c>
      <c r="E13" t="s">
        <v>92</v>
      </c>
      <c r="F13" t="s">
        <v>62</v>
      </c>
      <c r="G13" t="s">
        <v>62</v>
      </c>
      <c r="H13" t="s">
        <v>16</v>
      </c>
      <c r="I13" s="26" t="s">
        <v>17</v>
      </c>
      <c r="K13" s="14">
        <v>897687553</v>
      </c>
    </row>
    <row r="14" spans="1:14" x14ac:dyDescent="0.3">
      <c r="A14" t="s">
        <v>93</v>
      </c>
      <c r="B14" s="10" t="s">
        <v>94</v>
      </c>
      <c r="C14" t="s">
        <v>95</v>
      </c>
      <c r="D14" t="s">
        <v>96</v>
      </c>
      <c r="E14" t="s">
        <v>97</v>
      </c>
      <c r="F14" t="s">
        <v>75</v>
      </c>
      <c r="G14" t="s">
        <v>76</v>
      </c>
      <c r="H14" t="s">
        <v>98</v>
      </c>
      <c r="I14" s="26" t="s">
        <v>26</v>
      </c>
      <c r="K14" s="14">
        <v>9014150461.6666698</v>
      </c>
    </row>
    <row r="15" spans="1:14" x14ac:dyDescent="0.3">
      <c r="A15" t="s">
        <v>99</v>
      </c>
      <c r="B15" s="10" t="s">
        <v>100</v>
      </c>
      <c r="C15" t="s">
        <v>101</v>
      </c>
      <c r="D15" t="s">
        <v>102</v>
      </c>
      <c r="E15" t="s">
        <v>103</v>
      </c>
      <c r="F15" t="s">
        <v>53</v>
      </c>
      <c r="G15" t="s">
        <v>54</v>
      </c>
      <c r="H15" t="s">
        <v>63</v>
      </c>
      <c r="I15" s="26" t="s">
        <v>104</v>
      </c>
      <c r="K15" s="14">
        <v>9462832915.1666794</v>
      </c>
    </row>
    <row r="16" spans="1:14" x14ac:dyDescent="0.3">
      <c r="A16" t="s">
        <v>105</v>
      </c>
      <c r="B16" s="10" t="s">
        <v>106</v>
      </c>
      <c r="C16" t="s">
        <v>107</v>
      </c>
      <c r="D16" t="s">
        <v>108</v>
      </c>
      <c r="E16" t="s">
        <v>109</v>
      </c>
      <c r="F16" t="s">
        <v>75</v>
      </c>
      <c r="G16" t="s">
        <v>76</v>
      </c>
      <c r="H16" t="s">
        <v>98</v>
      </c>
      <c r="I16" s="23" t="s">
        <v>26</v>
      </c>
    </row>
    <row r="17" spans="1:27" x14ac:dyDescent="0.3">
      <c r="A17" t="s">
        <v>110</v>
      </c>
      <c r="B17" s="10" t="s">
        <v>111</v>
      </c>
      <c r="C17" t="s">
        <v>112</v>
      </c>
      <c r="D17" t="s">
        <v>113</v>
      </c>
      <c r="E17" t="s">
        <v>114</v>
      </c>
      <c r="F17" t="s">
        <v>14</v>
      </c>
      <c r="G17" t="s">
        <v>15</v>
      </c>
      <c r="H17" t="s">
        <v>115</v>
      </c>
      <c r="I17" s="23" t="s">
        <v>26</v>
      </c>
      <c r="K17" s="11">
        <v>46155</v>
      </c>
    </row>
    <row r="18" spans="1:27" x14ac:dyDescent="0.3">
      <c r="A18" t="s">
        <v>116</v>
      </c>
      <c r="B18" s="10" t="s">
        <v>117</v>
      </c>
      <c r="C18" t="s">
        <v>118</v>
      </c>
      <c r="D18" t="s">
        <v>119</v>
      </c>
      <c r="E18" s="27" t="s">
        <v>120</v>
      </c>
      <c r="F18" t="s">
        <v>121</v>
      </c>
      <c r="G18" t="s">
        <v>122</v>
      </c>
      <c r="H18" t="s">
        <v>55</v>
      </c>
      <c r="I18" s="23" t="s">
        <v>26</v>
      </c>
    </row>
    <row r="19" spans="1:27" x14ac:dyDescent="0.3">
      <c r="A19" t="s">
        <v>123</v>
      </c>
      <c r="B19" s="10" t="s">
        <v>124</v>
      </c>
      <c r="C19" t="s">
        <v>125</v>
      </c>
      <c r="D19" t="s">
        <v>126</v>
      </c>
      <c r="E19" t="s">
        <v>127</v>
      </c>
      <c r="F19" t="s">
        <v>62</v>
      </c>
      <c r="G19" t="s">
        <v>62</v>
      </c>
      <c r="H19" t="s">
        <v>98</v>
      </c>
      <c r="I19" s="23" t="s">
        <v>26</v>
      </c>
    </row>
    <row r="20" spans="1:27" x14ac:dyDescent="0.3">
      <c r="A20" t="s">
        <v>128</v>
      </c>
      <c r="B20" s="10" t="s">
        <v>129</v>
      </c>
      <c r="C20" t="s">
        <v>130</v>
      </c>
      <c r="D20" t="s">
        <v>131</v>
      </c>
      <c r="E20" t="s">
        <v>132</v>
      </c>
      <c r="F20" t="s">
        <v>133</v>
      </c>
      <c r="G20" t="s">
        <v>134</v>
      </c>
      <c r="H20" t="s">
        <v>55</v>
      </c>
      <c r="I20" s="23" t="s">
        <v>26</v>
      </c>
      <c r="K20" s="13">
        <v>0.40763888888888888</v>
      </c>
    </row>
    <row r="21" spans="1:27" x14ac:dyDescent="0.3">
      <c r="A21" t="s">
        <v>135</v>
      </c>
      <c r="B21" s="10" t="s">
        <v>136</v>
      </c>
      <c r="C21" t="s">
        <v>137</v>
      </c>
      <c r="D21" t="s">
        <v>138</v>
      </c>
      <c r="E21" t="s">
        <v>139</v>
      </c>
      <c r="F21" t="s">
        <v>140</v>
      </c>
      <c r="G21" t="s">
        <v>141</v>
      </c>
      <c r="H21" t="s">
        <v>16</v>
      </c>
      <c r="I21" s="23" t="s">
        <v>41</v>
      </c>
    </row>
    <row r="22" spans="1:27" x14ac:dyDescent="0.3">
      <c r="A22" t="s">
        <v>142</v>
      </c>
      <c r="B22" s="10" t="s">
        <v>143</v>
      </c>
      <c r="C22" t="s">
        <v>144</v>
      </c>
      <c r="D22" t="s">
        <v>145</v>
      </c>
      <c r="E22" t="s">
        <v>146</v>
      </c>
      <c r="F22" t="s">
        <v>140</v>
      </c>
      <c r="G22" t="s">
        <v>141</v>
      </c>
      <c r="H22" t="s">
        <v>63</v>
      </c>
      <c r="I22" s="23" t="s">
        <v>64</v>
      </c>
    </row>
    <row r="23" spans="1:27" x14ac:dyDescent="0.3">
      <c r="A23" t="s">
        <v>147</v>
      </c>
      <c r="B23" s="10" t="s">
        <v>148</v>
      </c>
      <c r="C23" t="s">
        <v>149</v>
      </c>
      <c r="D23" t="s">
        <v>45</v>
      </c>
      <c r="E23" t="s">
        <v>46</v>
      </c>
      <c r="F23" t="s">
        <v>39</v>
      </c>
      <c r="G23" t="s">
        <v>40</v>
      </c>
      <c r="H23" t="s">
        <v>55</v>
      </c>
      <c r="I23" s="23" t="s">
        <v>150</v>
      </c>
    </row>
    <row r="24" spans="1:27" x14ac:dyDescent="0.3">
      <c r="A24" t="s">
        <v>151</v>
      </c>
      <c r="B24" s="10" t="s">
        <v>152</v>
      </c>
      <c r="C24" t="s">
        <v>153</v>
      </c>
      <c r="D24" t="s">
        <v>154</v>
      </c>
      <c r="E24" t="s">
        <v>155</v>
      </c>
      <c r="F24" t="s">
        <v>140</v>
      </c>
      <c r="G24" t="s">
        <v>141</v>
      </c>
      <c r="H24" t="s">
        <v>25</v>
      </c>
      <c r="I24" s="23" t="s">
        <v>26</v>
      </c>
    </row>
    <row r="31" spans="1:27" x14ac:dyDescent="0.3">
      <c r="D31" s="7" t="s">
        <v>0</v>
      </c>
      <c r="E31" t="s">
        <v>9</v>
      </c>
      <c r="F31" t="s">
        <v>18</v>
      </c>
      <c r="G31" t="s">
        <v>27</v>
      </c>
      <c r="H31" t="s">
        <v>34</v>
      </c>
      <c r="I31" s="23" t="s">
        <v>42</v>
      </c>
      <c r="J31" t="s">
        <v>48</v>
      </c>
      <c r="K31" t="s">
        <v>57</v>
      </c>
      <c r="L31" t="s">
        <v>65</v>
      </c>
      <c r="M31" t="s">
        <v>70</v>
      </c>
      <c r="N31" t="s">
        <v>78</v>
      </c>
      <c r="O31" t="s">
        <v>83</v>
      </c>
      <c r="P31" t="s">
        <v>88</v>
      </c>
      <c r="Q31" t="s">
        <v>93</v>
      </c>
      <c r="R31" t="s">
        <v>99</v>
      </c>
      <c r="S31" t="s">
        <v>105</v>
      </c>
      <c r="T31" t="s">
        <v>110</v>
      </c>
      <c r="U31" t="s">
        <v>116</v>
      </c>
      <c r="V31" t="s">
        <v>123</v>
      </c>
      <c r="W31" t="s">
        <v>128</v>
      </c>
      <c r="X31" t="s">
        <v>135</v>
      </c>
      <c r="Y31" t="s">
        <v>142</v>
      </c>
      <c r="Z31" t="s">
        <v>147</v>
      </c>
      <c r="AA31" t="s">
        <v>151</v>
      </c>
    </row>
    <row r="32" spans="1:27" x14ac:dyDescent="0.3">
      <c r="D32" s="9" t="s">
        <v>1</v>
      </c>
      <c r="E32" s="10" t="s">
        <v>10</v>
      </c>
      <c r="F32" s="10" t="s">
        <v>19</v>
      </c>
      <c r="G32" s="10" t="s">
        <v>28</v>
      </c>
      <c r="H32" s="10" t="s">
        <v>35</v>
      </c>
      <c r="I32" s="24" t="s">
        <v>43</v>
      </c>
      <c r="J32" s="10" t="s">
        <v>49</v>
      </c>
      <c r="K32" s="10" t="s">
        <v>58</v>
      </c>
      <c r="L32" s="10" t="s">
        <v>66</v>
      </c>
      <c r="M32" s="10" t="s">
        <v>71</v>
      </c>
      <c r="N32" s="10" t="s">
        <v>79</v>
      </c>
      <c r="O32" s="10" t="s">
        <v>84</v>
      </c>
      <c r="P32" s="10" t="s">
        <v>89</v>
      </c>
      <c r="Q32" s="10" t="s">
        <v>94</v>
      </c>
      <c r="R32" s="10" t="s">
        <v>100</v>
      </c>
      <c r="S32" s="10" t="s">
        <v>106</v>
      </c>
      <c r="T32" s="10" t="s">
        <v>111</v>
      </c>
      <c r="U32" s="10" t="s">
        <v>117</v>
      </c>
      <c r="V32" s="10" t="s">
        <v>124</v>
      </c>
      <c r="W32" s="10" t="s">
        <v>129</v>
      </c>
      <c r="X32" s="10" t="s">
        <v>136</v>
      </c>
      <c r="Y32" s="10" t="s">
        <v>143</v>
      </c>
      <c r="Z32" s="10" t="s">
        <v>148</v>
      </c>
      <c r="AA32" s="10" t="s">
        <v>152</v>
      </c>
    </row>
    <row r="33" spans="4:27" x14ac:dyDescent="0.3">
      <c r="D33" s="7" t="s">
        <v>2</v>
      </c>
      <c r="E33" t="s">
        <v>11</v>
      </c>
      <c r="F33" t="s">
        <v>20</v>
      </c>
      <c r="G33" t="s">
        <v>29</v>
      </c>
      <c r="H33" t="s">
        <v>36</v>
      </c>
      <c r="I33" s="23" t="s">
        <v>44</v>
      </c>
      <c r="J33" t="s">
        <v>50</v>
      </c>
      <c r="K33" t="s">
        <v>59</v>
      </c>
      <c r="L33" t="s">
        <v>67</v>
      </c>
      <c r="M33" t="s">
        <v>72</v>
      </c>
      <c r="N33" t="s">
        <v>80</v>
      </c>
      <c r="O33" t="s">
        <v>85</v>
      </c>
      <c r="P33" t="s">
        <v>90</v>
      </c>
      <c r="Q33" t="s">
        <v>95</v>
      </c>
      <c r="R33" t="s">
        <v>101</v>
      </c>
      <c r="S33" t="s">
        <v>107</v>
      </c>
      <c r="T33" t="s">
        <v>112</v>
      </c>
      <c r="U33" t="s">
        <v>118</v>
      </c>
      <c r="V33" t="s">
        <v>125</v>
      </c>
      <c r="W33" t="s">
        <v>130</v>
      </c>
      <c r="X33" t="s">
        <v>137</v>
      </c>
      <c r="Y33" t="s">
        <v>144</v>
      </c>
      <c r="Z33" t="s">
        <v>149</v>
      </c>
      <c r="AA33" t="s">
        <v>153</v>
      </c>
    </row>
    <row r="34" spans="4:27" x14ac:dyDescent="0.3">
      <c r="D34" s="7" t="s">
        <v>3</v>
      </c>
      <c r="E34" t="s">
        <v>12</v>
      </c>
      <c r="F34" t="s">
        <v>21</v>
      </c>
      <c r="G34" t="s">
        <v>30</v>
      </c>
      <c r="H34" t="s">
        <v>37</v>
      </c>
      <c r="I34" s="23" t="s">
        <v>45</v>
      </c>
      <c r="J34" t="s">
        <v>51</v>
      </c>
      <c r="K34" t="s">
        <v>60</v>
      </c>
      <c r="L34" t="s">
        <v>68</v>
      </c>
      <c r="M34" t="s">
        <v>73</v>
      </c>
      <c r="N34" t="s">
        <v>81</v>
      </c>
      <c r="O34" t="s">
        <v>86</v>
      </c>
      <c r="P34" t="s">
        <v>91</v>
      </c>
      <c r="Q34" t="s">
        <v>96</v>
      </c>
      <c r="R34" t="s">
        <v>102</v>
      </c>
      <c r="S34" t="s">
        <v>108</v>
      </c>
      <c r="T34" t="s">
        <v>113</v>
      </c>
      <c r="U34" t="s">
        <v>119</v>
      </c>
      <c r="V34" t="s">
        <v>126</v>
      </c>
      <c r="W34" t="s">
        <v>131</v>
      </c>
      <c r="X34" t="s">
        <v>138</v>
      </c>
      <c r="Y34" t="s">
        <v>145</v>
      </c>
      <c r="Z34" t="s">
        <v>45</v>
      </c>
      <c r="AA34" t="s">
        <v>154</v>
      </c>
    </row>
    <row r="35" spans="4:27" x14ac:dyDescent="0.3">
      <c r="D35" s="7" t="s">
        <v>4</v>
      </c>
      <c r="E35" t="s">
        <v>13</v>
      </c>
      <c r="F35" t="s">
        <v>22</v>
      </c>
      <c r="G35" t="s">
        <v>31</v>
      </c>
      <c r="H35" t="s">
        <v>38</v>
      </c>
      <c r="I35" s="23" t="s">
        <v>46</v>
      </c>
      <c r="J35" t="s">
        <v>52</v>
      </c>
      <c r="K35" s="17" t="s">
        <v>61</v>
      </c>
      <c r="L35" t="s">
        <v>69</v>
      </c>
      <c r="M35" t="s">
        <v>74</v>
      </c>
      <c r="N35" s="18" t="s">
        <v>82</v>
      </c>
      <c r="O35" t="s">
        <v>87</v>
      </c>
      <c r="P35" t="s">
        <v>92</v>
      </c>
      <c r="Q35" t="s">
        <v>97</v>
      </c>
      <c r="R35" t="s">
        <v>103</v>
      </c>
      <c r="S35" t="s">
        <v>109</v>
      </c>
      <c r="T35" t="s">
        <v>114</v>
      </c>
      <c r="U35" t="s">
        <v>120</v>
      </c>
      <c r="V35" t="s">
        <v>127</v>
      </c>
      <c r="W35" t="s">
        <v>132</v>
      </c>
      <c r="X35" t="s">
        <v>139</v>
      </c>
      <c r="Y35" t="s">
        <v>146</v>
      </c>
      <c r="Z35" t="s">
        <v>46</v>
      </c>
      <c r="AA35" t="s">
        <v>155</v>
      </c>
    </row>
    <row r="36" spans="4:27" x14ac:dyDescent="0.3">
      <c r="D36" s="7" t="s">
        <v>5</v>
      </c>
      <c r="E36" t="s">
        <v>14</v>
      </c>
      <c r="F36" t="s">
        <v>23</v>
      </c>
      <c r="G36" t="s">
        <v>32</v>
      </c>
      <c r="H36" t="s">
        <v>39</v>
      </c>
      <c r="I36" s="23" t="s">
        <v>39</v>
      </c>
      <c r="J36" t="s">
        <v>53</v>
      </c>
      <c r="K36" t="s">
        <v>62</v>
      </c>
      <c r="L36" t="s">
        <v>39</v>
      </c>
      <c r="M36" t="s">
        <v>75</v>
      </c>
      <c r="N36" t="s">
        <v>32</v>
      </c>
      <c r="O36" t="s">
        <v>32</v>
      </c>
      <c r="P36" t="s">
        <v>62</v>
      </c>
      <c r="Q36" t="s">
        <v>75</v>
      </c>
      <c r="R36" t="s">
        <v>53</v>
      </c>
      <c r="S36" t="s">
        <v>75</v>
      </c>
      <c r="T36" t="s">
        <v>14</v>
      </c>
      <c r="U36" t="s">
        <v>121</v>
      </c>
      <c r="V36" t="s">
        <v>62</v>
      </c>
      <c r="W36" t="s">
        <v>133</v>
      </c>
      <c r="X36" t="s">
        <v>140</v>
      </c>
      <c r="Y36" t="s">
        <v>140</v>
      </c>
      <c r="Z36" t="s">
        <v>39</v>
      </c>
      <c r="AA36" t="s">
        <v>140</v>
      </c>
    </row>
    <row r="37" spans="4:27" x14ac:dyDescent="0.3">
      <c r="D37" s="7" t="s">
        <v>6</v>
      </c>
      <c r="E37" t="s">
        <v>15</v>
      </c>
      <c r="F37" t="s">
        <v>24</v>
      </c>
      <c r="G37" t="s">
        <v>33</v>
      </c>
      <c r="H37" t="s">
        <v>40</v>
      </c>
      <c r="I37" s="23" t="s">
        <v>40</v>
      </c>
      <c r="J37" s="8" t="s">
        <v>54</v>
      </c>
      <c r="K37" t="s">
        <v>62</v>
      </c>
      <c r="L37" s="16" t="s">
        <v>40</v>
      </c>
      <c r="M37" t="s">
        <v>76</v>
      </c>
      <c r="N37" t="s">
        <v>33</v>
      </c>
      <c r="O37" t="s">
        <v>33</v>
      </c>
      <c r="P37" t="s">
        <v>62</v>
      </c>
      <c r="Q37" t="s">
        <v>76</v>
      </c>
      <c r="R37" t="s">
        <v>54</v>
      </c>
      <c r="S37" t="s">
        <v>76</v>
      </c>
      <c r="T37" t="s">
        <v>15</v>
      </c>
      <c r="U37" t="s">
        <v>122</v>
      </c>
      <c r="V37" t="s">
        <v>62</v>
      </c>
      <c r="W37" t="s">
        <v>134</v>
      </c>
      <c r="X37" t="s">
        <v>141</v>
      </c>
      <c r="Y37" t="s">
        <v>141</v>
      </c>
      <c r="Z37" t="s">
        <v>40</v>
      </c>
      <c r="AA37" t="s">
        <v>141</v>
      </c>
    </row>
    <row r="38" spans="4:27" x14ac:dyDescent="0.3">
      <c r="D38" s="7" t="s">
        <v>7</v>
      </c>
      <c r="E38" t="s">
        <v>16</v>
      </c>
      <c r="F38" t="s">
        <v>25</v>
      </c>
      <c r="G38" t="s">
        <v>16</v>
      </c>
      <c r="H38" t="s">
        <v>16</v>
      </c>
      <c r="I38" s="23" t="s">
        <v>16</v>
      </c>
      <c r="J38" t="s">
        <v>55</v>
      </c>
      <c r="K38" t="s">
        <v>63</v>
      </c>
      <c r="L38" t="s">
        <v>63</v>
      </c>
      <c r="M38" t="s">
        <v>55</v>
      </c>
      <c r="N38" t="s">
        <v>55</v>
      </c>
      <c r="O38" s="8" t="s">
        <v>25</v>
      </c>
      <c r="P38" t="s">
        <v>16</v>
      </c>
      <c r="Q38" t="s">
        <v>98</v>
      </c>
      <c r="R38" t="s">
        <v>63</v>
      </c>
      <c r="S38" t="s">
        <v>98</v>
      </c>
      <c r="T38" t="s">
        <v>115</v>
      </c>
      <c r="U38" t="s">
        <v>55</v>
      </c>
      <c r="V38" t="s">
        <v>98</v>
      </c>
      <c r="W38" t="s">
        <v>55</v>
      </c>
      <c r="X38" t="s">
        <v>16</v>
      </c>
      <c r="Y38" t="s">
        <v>63</v>
      </c>
      <c r="Z38" t="s">
        <v>55</v>
      </c>
      <c r="AA38" t="s">
        <v>25</v>
      </c>
    </row>
    <row r="39" spans="4:27" x14ac:dyDescent="0.3">
      <c r="D39" s="7" t="s">
        <v>8</v>
      </c>
      <c r="E39" t="s">
        <v>17</v>
      </c>
      <c r="F39" t="s">
        <v>26</v>
      </c>
      <c r="G39" t="s">
        <v>17</v>
      </c>
      <c r="H39" t="s">
        <v>41</v>
      </c>
      <c r="I39" s="23" t="s">
        <v>47</v>
      </c>
      <c r="J39" t="s">
        <v>56</v>
      </c>
      <c r="K39" t="s">
        <v>64</v>
      </c>
      <c r="L39" t="s">
        <v>64</v>
      </c>
      <c r="M39" t="s">
        <v>77</v>
      </c>
      <c r="N39" t="s">
        <v>47</v>
      </c>
      <c r="O39" t="s">
        <v>26</v>
      </c>
      <c r="P39" t="s">
        <v>17</v>
      </c>
      <c r="Q39" t="s">
        <v>26</v>
      </c>
      <c r="R39" t="s">
        <v>104</v>
      </c>
      <c r="S39" t="s">
        <v>26</v>
      </c>
      <c r="T39" t="s">
        <v>26</v>
      </c>
      <c r="U39" t="s">
        <v>26</v>
      </c>
      <c r="V39" t="s">
        <v>26</v>
      </c>
      <c r="W39" t="s">
        <v>26</v>
      </c>
      <c r="X39" t="s">
        <v>41</v>
      </c>
      <c r="Y39" t="s">
        <v>64</v>
      </c>
      <c r="Z39" t="s">
        <v>150</v>
      </c>
      <c r="AA39" t="s">
        <v>26</v>
      </c>
    </row>
  </sheetData>
  <mergeCells count="8">
    <mergeCell ref="M8:N8"/>
    <mergeCell ref="M9:N9"/>
    <mergeCell ref="J2:K2"/>
    <mergeCell ref="M3:N3"/>
    <mergeCell ref="M4:N4"/>
    <mergeCell ref="M5:N5"/>
    <mergeCell ref="M6:N6"/>
    <mergeCell ref="M7:N7"/>
  </mergeCells>
  <hyperlinks>
    <hyperlink ref="G9" location="Sheet1!A1" display="USA" xr:uid="{F6D21DDD-266B-45FF-A290-CB2CBC0A3072}"/>
    <hyperlink ref="L37" location="Sheet1!A1" display="USA" xr:uid="{51B7230F-93A5-4E31-858E-1E79DCF0406B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30BFCA-5BE0-4FF7-B6EE-CC44F1E1B5C5}">
  <dimension ref="A1:K26"/>
  <sheetViews>
    <sheetView tabSelected="1" workbookViewId="0">
      <selection activeCell="M9" sqref="M9"/>
    </sheetView>
  </sheetViews>
  <sheetFormatPr defaultRowHeight="15.6" x14ac:dyDescent="0.3"/>
  <cols>
    <col min="2" max="2" width="14.69921875" bestFit="1" customWidth="1"/>
    <col min="3" max="3" width="12.296875" bestFit="1" customWidth="1"/>
    <col min="4" max="4" width="10.796875" customWidth="1"/>
    <col min="5" max="5" width="5.8984375" bestFit="1" customWidth="1"/>
    <col min="6" max="6" width="17.09765625" customWidth="1"/>
    <col min="7" max="7" width="5.09765625" bestFit="1" customWidth="1"/>
    <col min="11" max="11" width="11.796875" customWidth="1"/>
  </cols>
  <sheetData>
    <row r="1" spans="1:11" x14ac:dyDescent="0.3">
      <c r="A1" s="7" t="s">
        <v>6</v>
      </c>
      <c r="B1" s="7" t="s">
        <v>7</v>
      </c>
      <c r="C1" s="7" t="s">
        <v>8</v>
      </c>
      <c r="D1" s="7" t="s">
        <v>156</v>
      </c>
      <c r="E1" s="7" t="s">
        <v>157</v>
      </c>
      <c r="F1" t="s">
        <v>156</v>
      </c>
      <c r="G1" t="s">
        <v>157</v>
      </c>
      <c r="K1" s="7" t="s">
        <v>157</v>
      </c>
    </row>
    <row r="2" spans="1:11" x14ac:dyDescent="0.3">
      <c r="A2" t="s">
        <v>15</v>
      </c>
      <c r="B2" t="s">
        <v>16</v>
      </c>
      <c r="C2" t="s">
        <v>17</v>
      </c>
      <c r="D2">
        <v>1000</v>
      </c>
      <c r="E2">
        <f>D2*0.25</f>
        <v>250</v>
      </c>
      <c r="F2">
        <v>1000</v>
      </c>
      <c r="G2">
        <v>250</v>
      </c>
      <c r="K2">
        <v>250</v>
      </c>
    </row>
    <row r="3" spans="1:11" x14ac:dyDescent="0.3">
      <c r="A3" t="s">
        <v>33</v>
      </c>
      <c r="B3" t="s">
        <v>16</v>
      </c>
      <c r="C3" t="s">
        <v>17</v>
      </c>
      <c r="D3">
        <v>3000</v>
      </c>
      <c r="E3">
        <f>D3*0.25</f>
        <v>750</v>
      </c>
      <c r="F3">
        <v>3000</v>
      </c>
      <c r="G3">
        <v>750</v>
      </c>
      <c r="K3">
        <v>750</v>
      </c>
    </row>
    <row r="4" spans="1:11" x14ac:dyDescent="0.3">
      <c r="A4" t="s">
        <v>40</v>
      </c>
      <c r="B4" t="s">
        <v>16</v>
      </c>
      <c r="C4" t="s">
        <v>41</v>
      </c>
      <c r="D4">
        <v>4000</v>
      </c>
      <c r="E4">
        <v>4000</v>
      </c>
      <c r="F4">
        <v>4000</v>
      </c>
      <c r="G4">
        <v>1000</v>
      </c>
      <c r="K4">
        <v>1000</v>
      </c>
    </row>
    <row r="5" spans="1:11" x14ac:dyDescent="0.3">
      <c r="A5" t="s">
        <v>40</v>
      </c>
      <c r="B5" t="s">
        <v>16</v>
      </c>
      <c r="C5" t="s">
        <v>47</v>
      </c>
      <c r="D5">
        <v>5000</v>
      </c>
      <c r="E5">
        <f>D5*0.25</f>
        <v>1250</v>
      </c>
      <c r="F5">
        <v>5000</v>
      </c>
      <c r="G5">
        <v>1250</v>
      </c>
      <c r="K5">
        <v>1250</v>
      </c>
    </row>
    <row r="6" spans="1:11" x14ac:dyDescent="0.3">
      <c r="A6" t="s">
        <v>62</v>
      </c>
      <c r="B6" t="s">
        <v>16</v>
      </c>
      <c r="C6" t="s">
        <v>17</v>
      </c>
      <c r="D6">
        <v>12000</v>
      </c>
      <c r="E6">
        <f>D6*0.25</f>
        <v>3000</v>
      </c>
      <c r="F6">
        <v>12000</v>
      </c>
      <c r="G6">
        <v>3000</v>
      </c>
      <c r="K6">
        <v>3000</v>
      </c>
    </row>
    <row r="7" spans="1:11" x14ac:dyDescent="0.3">
      <c r="A7" t="s">
        <v>141</v>
      </c>
      <c r="B7" t="s">
        <v>16</v>
      </c>
      <c r="C7" t="s">
        <v>41</v>
      </c>
      <c r="D7">
        <v>20000</v>
      </c>
      <c r="E7">
        <f>D7*0.25</f>
        <v>5000</v>
      </c>
      <c r="F7">
        <v>20000</v>
      </c>
      <c r="G7">
        <v>5000</v>
      </c>
      <c r="K7">
        <v>5000</v>
      </c>
    </row>
    <row r="8" spans="1:11" x14ac:dyDescent="0.3">
      <c r="A8" t="s">
        <v>76</v>
      </c>
      <c r="B8" t="s">
        <v>98</v>
      </c>
      <c r="C8" t="s">
        <v>26</v>
      </c>
      <c r="D8">
        <v>13000</v>
      </c>
      <c r="E8">
        <f>D8*0.25</f>
        <v>3250</v>
      </c>
      <c r="F8">
        <v>13000</v>
      </c>
      <c r="G8">
        <v>3250</v>
      </c>
      <c r="K8">
        <v>3250</v>
      </c>
    </row>
    <row r="9" spans="1:11" x14ac:dyDescent="0.3">
      <c r="A9" t="s">
        <v>76</v>
      </c>
      <c r="B9" t="s">
        <v>98</v>
      </c>
      <c r="C9" t="s">
        <v>26</v>
      </c>
      <c r="D9">
        <v>15000</v>
      </c>
      <c r="E9">
        <f>D9*0.25</f>
        <v>3750</v>
      </c>
      <c r="F9">
        <v>15000</v>
      </c>
      <c r="G9">
        <v>3750</v>
      </c>
      <c r="K9">
        <v>3750</v>
      </c>
    </row>
    <row r="10" spans="1:11" x14ac:dyDescent="0.3">
      <c r="A10" t="s">
        <v>62</v>
      </c>
      <c r="B10" t="s">
        <v>98</v>
      </c>
      <c r="C10" t="s">
        <v>26</v>
      </c>
      <c r="D10">
        <v>18000</v>
      </c>
      <c r="E10">
        <v>2000</v>
      </c>
      <c r="F10">
        <v>18000</v>
      </c>
      <c r="G10">
        <v>4500</v>
      </c>
      <c r="K10">
        <v>4500</v>
      </c>
    </row>
    <row r="11" spans="1:11" x14ac:dyDescent="0.3">
      <c r="A11" t="s">
        <v>54</v>
      </c>
      <c r="B11" t="s">
        <v>55</v>
      </c>
      <c r="C11" t="s">
        <v>56</v>
      </c>
      <c r="D11">
        <v>6000</v>
      </c>
      <c r="E11">
        <f>D11*0.25</f>
        <v>1500</v>
      </c>
      <c r="F11">
        <v>6000</v>
      </c>
      <c r="G11">
        <v>1500</v>
      </c>
      <c r="K11">
        <v>1500</v>
      </c>
    </row>
    <row r="12" spans="1:11" x14ac:dyDescent="0.3">
      <c r="A12" t="s">
        <v>76</v>
      </c>
      <c r="B12" t="s">
        <v>55</v>
      </c>
      <c r="C12" t="s">
        <v>77</v>
      </c>
      <c r="D12">
        <v>9000</v>
      </c>
      <c r="E12">
        <f>D12*0.25</f>
        <v>2250</v>
      </c>
      <c r="F12">
        <v>9000</v>
      </c>
      <c r="G12">
        <v>2250</v>
      </c>
      <c r="K12">
        <v>2250</v>
      </c>
    </row>
    <row r="13" spans="1:11" x14ac:dyDescent="0.3">
      <c r="A13" t="s">
        <v>33</v>
      </c>
      <c r="B13" t="s">
        <v>55</v>
      </c>
      <c r="C13" t="s">
        <v>47</v>
      </c>
      <c r="D13">
        <v>10000</v>
      </c>
      <c r="E13">
        <f>D13*0.25</f>
        <v>2500</v>
      </c>
      <c r="F13">
        <v>10000</v>
      </c>
      <c r="G13">
        <v>2500</v>
      </c>
      <c r="K13">
        <v>2500</v>
      </c>
    </row>
    <row r="14" spans="1:11" x14ac:dyDescent="0.3">
      <c r="A14" t="s">
        <v>122</v>
      </c>
      <c r="B14" t="s">
        <v>55</v>
      </c>
      <c r="C14" t="s">
        <v>26</v>
      </c>
      <c r="D14">
        <v>17000</v>
      </c>
      <c r="E14">
        <f>D14*0.25</f>
        <v>4250</v>
      </c>
      <c r="F14">
        <v>17000</v>
      </c>
      <c r="G14">
        <v>4250</v>
      </c>
      <c r="K14">
        <v>4250</v>
      </c>
    </row>
    <row r="15" spans="1:11" x14ac:dyDescent="0.3">
      <c r="A15" t="s">
        <v>134</v>
      </c>
      <c r="B15" t="s">
        <v>55</v>
      </c>
      <c r="C15" t="s">
        <v>26</v>
      </c>
      <c r="D15">
        <v>19000</v>
      </c>
      <c r="E15">
        <f>D15*0.25</f>
        <v>4750</v>
      </c>
      <c r="F15">
        <v>19000</v>
      </c>
      <c r="G15">
        <v>4750</v>
      </c>
      <c r="K15">
        <v>4750</v>
      </c>
    </row>
    <row r="16" spans="1:11" x14ac:dyDescent="0.3">
      <c r="A16" t="s">
        <v>40</v>
      </c>
      <c r="B16" t="s">
        <v>55</v>
      </c>
      <c r="C16" t="s">
        <v>150</v>
      </c>
      <c r="D16">
        <v>22000</v>
      </c>
      <c r="E16">
        <f>D16*0.25</f>
        <v>5500</v>
      </c>
      <c r="F16">
        <v>22000</v>
      </c>
      <c r="G16">
        <v>5500</v>
      </c>
      <c r="K16">
        <v>5500</v>
      </c>
    </row>
    <row r="17" spans="1:11" x14ac:dyDescent="0.3">
      <c r="A17" t="s">
        <v>15</v>
      </c>
      <c r="B17" t="s">
        <v>115</v>
      </c>
      <c r="C17" t="s">
        <v>26</v>
      </c>
      <c r="D17">
        <v>16000</v>
      </c>
      <c r="E17">
        <f>D17*0.25</f>
        <v>4000</v>
      </c>
      <c r="F17">
        <v>16000</v>
      </c>
      <c r="G17">
        <v>4000</v>
      </c>
      <c r="K17">
        <v>4000</v>
      </c>
    </row>
    <row r="18" spans="1:11" x14ac:dyDescent="0.3">
      <c r="A18" t="s">
        <v>24</v>
      </c>
      <c r="B18" t="s">
        <v>25</v>
      </c>
      <c r="C18" t="s">
        <v>26</v>
      </c>
      <c r="D18">
        <v>2000</v>
      </c>
      <c r="E18">
        <f>D18*0.25</f>
        <v>500</v>
      </c>
      <c r="F18">
        <v>2000</v>
      </c>
      <c r="G18">
        <v>500</v>
      </c>
      <c r="K18">
        <v>500</v>
      </c>
    </row>
    <row r="19" spans="1:11" x14ac:dyDescent="0.3">
      <c r="A19" t="s">
        <v>33</v>
      </c>
      <c r="B19" t="s">
        <v>25</v>
      </c>
      <c r="C19" t="s">
        <v>26</v>
      </c>
      <c r="D19">
        <v>11000</v>
      </c>
      <c r="E19">
        <f>D19*0.25</f>
        <v>2750</v>
      </c>
      <c r="F19">
        <v>11000</v>
      </c>
      <c r="G19">
        <v>2750</v>
      </c>
      <c r="K19">
        <v>2750</v>
      </c>
    </row>
    <row r="20" spans="1:11" x14ac:dyDescent="0.3">
      <c r="A20" t="s">
        <v>141</v>
      </c>
      <c r="B20" t="s">
        <v>25</v>
      </c>
      <c r="C20" t="s">
        <v>26</v>
      </c>
      <c r="D20">
        <v>23000</v>
      </c>
      <c r="E20">
        <f>D20*0.25</f>
        <v>5750</v>
      </c>
      <c r="F20">
        <v>23000</v>
      </c>
      <c r="G20">
        <v>5750</v>
      </c>
      <c r="K20">
        <v>5750</v>
      </c>
    </row>
    <row r="21" spans="1:11" x14ac:dyDescent="0.3">
      <c r="A21" t="s">
        <v>62</v>
      </c>
      <c r="B21" t="s">
        <v>63</v>
      </c>
      <c r="C21" t="s">
        <v>64</v>
      </c>
      <c r="D21">
        <v>7000</v>
      </c>
      <c r="E21">
        <v>5000</v>
      </c>
      <c r="F21">
        <v>7000</v>
      </c>
      <c r="G21">
        <v>1750</v>
      </c>
      <c r="K21">
        <v>1750</v>
      </c>
    </row>
    <row r="22" spans="1:11" x14ac:dyDescent="0.3">
      <c r="A22" t="s">
        <v>40</v>
      </c>
      <c r="B22" t="s">
        <v>63</v>
      </c>
      <c r="C22" t="s">
        <v>64</v>
      </c>
      <c r="D22">
        <v>8000</v>
      </c>
      <c r="E22">
        <v>3333</v>
      </c>
      <c r="F22">
        <v>8000</v>
      </c>
      <c r="G22">
        <v>2000</v>
      </c>
      <c r="K22">
        <v>2000</v>
      </c>
    </row>
    <row r="23" spans="1:11" x14ac:dyDescent="0.3">
      <c r="A23" t="s">
        <v>54</v>
      </c>
      <c r="B23" t="s">
        <v>63</v>
      </c>
      <c r="C23" t="s">
        <v>104</v>
      </c>
      <c r="D23">
        <v>14000</v>
      </c>
      <c r="E23">
        <f>D23*0.25</f>
        <v>3500</v>
      </c>
      <c r="F23">
        <v>14000</v>
      </c>
      <c r="G23">
        <v>3500</v>
      </c>
      <c r="K23">
        <v>3500</v>
      </c>
    </row>
    <row r="24" spans="1:11" x14ac:dyDescent="0.3">
      <c r="A24" t="s">
        <v>141</v>
      </c>
      <c r="B24" t="s">
        <v>63</v>
      </c>
      <c r="C24" t="s">
        <v>64</v>
      </c>
      <c r="D24">
        <v>21000</v>
      </c>
      <c r="E24">
        <f>D24*0.25</f>
        <v>5250</v>
      </c>
      <c r="F24">
        <v>21000</v>
      </c>
      <c r="G24">
        <v>5250</v>
      </c>
      <c r="K24">
        <v>5250</v>
      </c>
    </row>
    <row r="25" spans="1:11" x14ac:dyDescent="0.3">
      <c r="C25">
        <f>COUNTA(C2:C24)</f>
        <v>23</v>
      </c>
      <c r="D25">
        <f>SUM(D2:D24)</f>
        <v>276000</v>
      </c>
      <c r="E25">
        <f>SUM(E2:E24)</f>
        <v>74083</v>
      </c>
    </row>
    <row r="26" spans="1:11" x14ac:dyDescent="0.3">
      <c r="C26">
        <f>COUNTA(C11,C2,C4,C6,,C13)</f>
        <v>6</v>
      </c>
    </row>
  </sheetData>
  <conditionalFormatting sqref="E2:E25">
    <cfRule type="cellIs" dxfId="9" priority="11" operator="equal">
      <formula>3333</formula>
    </cfRule>
    <cfRule type="cellIs" dxfId="8" priority="12" operator="greaterThan">
      <formula>3000</formula>
    </cfRule>
  </conditionalFormatting>
  <conditionalFormatting sqref="C2:C24">
    <cfRule type="containsText" dxfId="7" priority="10" operator="containsText" text="ing">
      <formula>NOT(ISERROR(SEARCH("ing",C2)))</formula>
    </cfRule>
  </conditionalFormatting>
  <conditionalFormatting sqref="B2:B24">
    <cfRule type="uniqueValues" dxfId="6" priority="9"/>
  </conditionalFormatting>
  <conditionalFormatting sqref="G2:G24">
    <cfRule type="top10" dxfId="5" priority="8" percent="1" bottom="1" rank="30"/>
  </conditionalFormatting>
  <conditionalFormatting sqref="K2:K24">
    <cfRule type="dataBar" priority="3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{A48B3B00-4727-45AA-AE19-A2B9021FB403}</x14:id>
        </ext>
      </extLst>
    </cfRule>
  </conditionalFormatting>
  <conditionalFormatting sqref="F1:F24">
    <cfRule type="colorScale" priority="2">
      <colorScale>
        <cfvo type="min"/>
        <cfvo type="percentile" val="50"/>
        <cfvo type="max"/>
        <color theme="5"/>
        <color rgb="FFFCFCFF"/>
        <color rgb="FF5A8AC6"/>
      </colorScale>
    </cfRule>
  </conditionalFormatting>
  <conditionalFormatting sqref="D2:D25">
    <cfRule type="iconSet" priority="1">
      <iconSet iconSet="3Arrows">
        <cfvo type="percent" val="0"/>
        <cfvo type="num" val="10000"/>
        <cfvo type="num" val="20000"/>
      </iconSe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48B3B00-4727-45AA-AE19-A2B9021FB403}">
            <x14:dataBar minLength="0" maxLength="100" gradient="0" direction="rightToLeft">
              <x14:cfvo type="autoMin"/>
              <x14:cfvo type="autoMax"/>
              <x14:negativeFillColor rgb="FFFF0000"/>
              <x14:axisColor rgb="FF000000"/>
            </x14:dataBar>
          </x14:cfRule>
          <xm:sqref>K2:K24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C9FFBF-B6D2-4312-9BB5-10D4D8FDE94B}">
  <dimension ref="A1"/>
  <sheetViews>
    <sheetView workbookViewId="0">
      <selection activeCell="J14" sqref="J14"/>
    </sheetView>
  </sheetViews>
  <sheetFormatPr defaultRowHeight="15.6" x14ac:dyDescent="0.3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5289EC-B709-43FC-8CED-C9CA3B39FBF6}">
  <dimension ref="B3:X82"/>
  <sheetViews>
    <sheetView topLeftCell="F1" workbookViewId="0">
      <selection activeCell="Q22" sqref="Q22"/>
    </sheetView>
  </sheetViews>
  <sheetFormatPr defaultRowHeight="15.6" x14ac:dyDescent="0.3"/>
  <cols>
    <col min="2" max="2" width="14.19921875" customWidth="1"/>
    <col min="3" max="3" width="16.296875" customWidth="1"/>
    <col min="4" max="4" width="11.296875" customWidth="1"/>
    <col min="5" max="5" width="12.59765625" customWidth="1"/>
    <col min="6" max="6" width="15.69921875" customWidth="1"/>
    <col min="7" max="7" width="9.3984375" bestFit="1" customWidth="1"/>
    <col min="8" max="8" width="9.296875" customWidth="1"/>
    <col min="9" max="9" width="16.296875" customWidth="1"/>
    <col min="10" max="10" width="12.296875" bestFit="1" customWidth="1"/>
    <col min="13" max="13" width="12.296875" bestFit="1" customWidth="1"/>
    <col min="14" max="14" width="10.09765625" bestFit="1" customWidth="1"/>
    <col min="15" max="15" width="10.59765625" bestFit="1" customWidth="1"/>
    <col min="16" max="16" width="10.296875" bestFit="1" customWidth="1"/>
    <col min="17" max="17" width="15.5" bestFit="1" customWidth="1"/>
    <col min="18" max="18" width="9.3984375" bestFit="1" customWidth="1"/>
    <col min="20" max="20" width="9.8984375" bestFit="1" customWidth="1"/>
    <col min="21" max="21" width="12.296875" bestFit="1" customWidth="1"/>
  </cols>
  <sheetData>
    <row r="3" spans="2:21" x14ac:dyDescent="0.3">
      <c r="B3" t="s">
        <v>0</v>
      </c>
      <c r="C3" t="s">
        <v>1</v>
      </c>
      <c r="D3" t="s">
        <v>2</v>
      </c>
      <c r="E3" t="s">
        <v>3</v>
      </c>
      <c r="F3" t="s">
        <v>4</v>
      </c>
      <c r="G3" t="s">
        <v>5</v>
      </c>
      <c r="H3" t="s">
        <v>6</v>
      </c>
      <c r="I3" t="s">
        <v>7</v>
      </c>
      <c r="J3" t="s">
        <v>8</v>
      </c>
    </row>
    <row r="4" spans="2:21" x14ac:dyDescent="0.3">
      <c r="B4" t="s">
        <v>9</v>
      </c>
      <c r="C4" t="s">
        <v>10</v>
      </c>
      <c r="D4" t="s">
        <v>11</v>
      </c>
      <c r="E4" t="s">
        <v>12</v>
      </c>
      <c r="F4" t="s">
        <v>13</v>
      </c>
      <c r="G4" t="s">
        <v>14</v>
      </c>
      <c r="H4" t="s">
        <v>15</v>
      </c>
      <c r="I4" t="s">
        <v>16</v>
      </c>
      <c r="J4" t="s">
        <v>17</v>
      </c>
      <c r="M4" s="1" t="s">
        <v>9</v>
      </c>
      <c r="N4" s="2" t="s">
        <v>10</v>
      </c>
      <c r="O4" s="2" t="s">
        <v>11</v>
      </c>
      <c r="P4" s="2" t="s">
        <v>12</v>
      </c>
      <c r="Q4" s="2" t="s">
        <v>13</v>
      </c>
      <c r="R4" s="2" t="s">
        <v>14</v>
      </c>
      <c r="S4" s="2" t="s">
        <v>15</v>
      </c>
      <c r="T4" s="2" t="s">
        <v>16</v>
      </c>
      <c r="U4" s="3" t="s">
        <v>17</v>
      </c>
    </row>
    <row r="5" spans="2:21" x14ac:dyDescent="0.3">
      <c r="B5" t="s">
        <v>18</v>
      </c>
      <c r="C5" t="s">
        <v>19</v>
      </c>
      <c r="D5" t="s">
        <v>20</v>
      </c>
      <c r="E5" t="s">
        <v>21</v>
      </c>
      <c r="F5" t="s">
        <v>22</v>
      </c>
      <c r="G5" t="s">
        <v>23</v>
      </c>
      <c r="H5" t="s">
        <v>24</v>
      </c>
      <c r="I5" t="s">
        <v>25</v>
      </c>
      <c r="J5" t="s">
        <v>26</v>
      </c>
      <c r="M5" s="4" t="s">
        <v>18</v>
      </c>
      <c r="N5" s="5" t="s">
        <v>19</v>
      </c>
      <c r="O5" s="5" t="s">
        <v>20</v>
      </c>
      <c r="P5" s="5" t="s">
        <v>21</v>
      </c>
      <c r="Q5" s="5" t="s">
        <v>22</v>
      </c>
      <c r="R5" s="5" t="s">
        <v>23</v>
      </c>
      <c r="S5" s="5" t="s">
        <v>24</v>
      </c>
      <c r="T5" s="5" t="s">
        <v>25</v>
      </c>
      <c r="U5" s="6" t="s">
        <v>26</v>
      </c>
    </row>
    <row r="6" spans="2:21" x14ac:dyDescent="0.3">
      <c r="B6" t="s">
        <v>27</v>
      </c>
      <c r="C6" t="s">
        <v>28</v>
      </c>
      <c r="D6" t="s">
        <v>29</v>
      </c>
      <c r="E6" t="s">
        <v>30</v>
      </c>
      <c r="F6" t="s">
        <v>31</v>
      </c>
      <c r="G6" t="s">
        <v>32</v>
      </c>
      <c r="H6" t="s">
        <v>33</v>
      </c>
      <c r="I6" t="s">
        <v>16</v>
      </c>
      <c r="J6" t="s">
        <v>17</v>
      </c>
      <c r="M6" s="1" t="s">
        <v>27</v>
      </c>
      <c r="N6" s="2" t="s">
        <v>28</v>
      </c>
      <c r="O6" s="2" t="s">
        <v>29</v>
      </c>
      <c r="P6" s="2" t="s">
        <v>30</v>
      </c>
      <c r="Q6" s="2" t="s">
        <v>31</v>
      </c>
      <c r="R6" s="2" t="s">
        <v>32</v>
      </c>
      <c r="S6" s="2" t="s">
        <v>33</v>
      </c>
      <c r="T6" s="2" t="s">
        <v>16</v>
      </c>
      <c r="U6" s="3" t="s">
        <v>17</v>
      </c>
    </row>
    <row r="7" spans="2:21" x14ac:dyDescent="0.3">
      <c r="B7" t="s">
        <v>34</v>
      </c>
      <c r="C7" t="s">
        <v>35</v>
      </c>
      <c r="D7" t="s">
        <v>36</v>
      </c>
      <c r="E7" t="s">
        <v>37</v>
      </c>
      <c r="F7" t="s">
        <v>38</v>
      </c>
      <c r="G7" t="s">
        <v>39</v>
      </c>
      <c r="H7" t="s">
        <v>40</v>
      </c>
      <c r="I7" t="s">
        <v>16</v>
      </c>
      <c r="J7" t="s">
        <v>41</v>
      </c>
      <c r="M7" s="4" t="s">
        <v>34</v>
      </c>
      <c r="N7" s="5" t="s">
        <v>35</v>
      </c>
      <c r="O7" s="5" t="s">
        <v>36</v>
      </c>
      <c r="P7" s="5" t="s">
        <v>37</v>
      </c>
      <c r="Q7" s="5" t="s">
        <v>38</v>
      </c>
      <c r="R7" s="5" t="s">
        <v>39</v>
      </c>
      <c r="S7" s="5" t="s">
        <v>40</v>
      </c>
      <c r="T7" s="5" t="s">
        <v>16</v>
      </c>
      <c r="U7" s="6" t="s">
        <v>41</v>
      </c>
    </row>
    <row r="8" spans="2:21" x14ac:dyDescent="0.3">
      <c r="B8" t="s">
        <v>42</v>
      </c>
      <c r="C8" t="s">
        <v>43</v>
      </c>
      <c r="D8" t="s">
        <v>44</v>
      </c>
      <c r="E8" t="s">
        <v>45</v>
      </c>
      <c r="F8" t="s">
        <v>46</v>
      </c>
      <c r="G8" s="15" t="s">
        <v>39</v>
      </c>
      <c r="H8" t="s">
        <v>40</v>
      </c>
      <c r="I8" t="s">
        <v>16</v>
      </c>
      <c r="J8" t="s">
        <v>47</v>
      </c>
      <c r="M8" s="1" t="s">
        <v>42</v>
      </c>
      <c r="N8" s="2" t="s">
        <v>43</v>
      </c>
      <c r="O8" s="2" t="s">
        <v>44</v>
      </c>
      <c r="P8" s="2" t="s">
        <v>45</v>
      </c>
      <c r="Q8" s="2" t="s">
        <v>46</v>
      </c>
      <c r="R8" s="19" t="s">
        <v>39</v>
      </c>
      <c r="S8" s="2" t="s">
        <v>40</v>
      </c>
      <c r="T8" s="2" t="s">
        <v>16</v>
      </c>
      <c r="U8" s="3" t="s">
        <v>47</v>
      </c>
    </row>
    <row r="9" spans="2:21" x14ac:dyDescent="0.3">
      <c r="B9" t="s">
        <v>48</v>
      </c>
      <c r="C9" t="s">
        <v>49</v>
      </c>
      <c r="D9" t="s">
        <v>50</v>
      </c>
      <c r="E9" t="s">
        <v>51</v>
      </c>
      <c r="F9" t="s">
        <v>52</v>
      </c>
      <c r="G9" t="s">
        <v>53</v>
      </c>
      <c r="H9" t="s">
        <v>54</v>
      </c>
      <c r="I9" t="s">
        <v>55</v>
      </c>
      <c r="J9" t="s">
        <v>56</v>
      </c>
      <c r="M9" s="4" t="s">
        <v>48</v>
      </c>
      <c r="N9" s="5" t="s">
        <v>49</v>
      </c>
      <c r="O9" s="5" t="s">
        <v>50</v>
      </c>
      <c r="P9" s="5" t="s">
        <v>51</v>
      </c>
      <c r="Q9" s="5" t="s">
        <v>52</v>
      </c>
      <c r="R9" s="5" t="s">
        <v>53</v>
      </c>
      <c r="S9" s="5" t="s">
        <v>54</v>
      </c>
      <c r="T9" s="5" t="s">
        <v>55</v>
      </c>
      <c r="U9" s="6" t="s">
        <v>56</v>
      </c>
    </row>
    <row r="10" spans="2:21" x14ac:dyDescent="0.3">
      <c r="B10" t="s">
        <v>57</v>
      </c>
      <c r="C10" t="s">
        <v>58</v>
      </c>
      <c r="D10" t="s">
        <v>59</v>
      </c>
      <c r="E10" t="s">
        <v>60</v>
      </c>
      <c r="F10" t="s">
        <v>61</v>
      </c>
      <c r="G10" t="s">
        <v>62</v>
      </c>
      <c r="H10" t="s">
        <v>62</v>
      </c>
      <c r="I10" t="s">
        <v>63</v>
      </c>
      <c r="J10" t="s">
        <v>64</v>
      </c>
      <c r="M10" s="1" t="s">
        <v>57</v>
      </c>
      <c r="N10" s="2" t="s">
        <v>58</v>
      </c>
      <c r="O10" s="2" t="s">
        <v>59</v>
      </c>
      <c r="P10" s="2" t="s">
        <v>60</v>
      </c>
      <c r="Q10" s="2" t="s">
        <v>61</v>
      </c>
      <c r="R10" s="2" t="s">
        <v>62</v>
      </c>
      <c r="S10" s="2" t="s">
        <v>62</v>
      </c>
      <c r="T10" s="2" t="s">
        <v>63</v>
      </c>
      <c r="U10" s="3" t="s">
        <v>64</v>
      </c>
    </row>
    <row r="11" spans="2:21" x14ac:dyDescent="0.3">
      <c r="B11" t="s">
        <v>65</v>
      </c>
      <c r="C11" t="s">
        <v>66</v>
      </c>
      <c r="D11" t="s">
        <v>67</v>
      </c>
      <c r="E11" t="s">
        <v>68</v>
      </c>
      <c r="F11" t="s">
        <v>69</v>
      </c>
      <c r="G11" t="s">
        <v>39</v>
      </c>
      <c r="H11" t="s">
        <v>40</v>
      </c>
      <c r="I11" t="s">
        <v>63</v>
      </c>
      <c r="J11" t="s">
        <v>64</v>
      </c>
      <c r="M11" s="4" t="s">
        <v>65</v>
      </c>
      <c r="N11" s="5" t="s">
        <v>66</v>
      </c>
      <c r="O11" s="5" t="s">
        <v>67</v>
      </c>
      <c r="P11" s="5" t="s">
        <v>68</v>
      </c>
      <c r="Q11" s="5" t="s">
        <v>69</v>
      </c>
      <c r="R11" s="5" t="s">
        <v>39</v>
      </c>
      <c r="S11" s="5" t="s">
        <v>40</v>
      </c>
      <c r="T11" s="5" t="s">
        <v>63</v>
      </c>
      <c r="U11" s="6" t="s">
        <v>64</v>
      </c>
    </row>
    <row r="12" spans="2:21" x14ac:dyDescent="0.3">
      <c r="B12" t="s">
        <v>70</v>
      </c>
      <c r="C12" t="s">
        <v>71</v>
      </c>
      <c r="D12" t="s">
        <v>72</v>
      </c>
      <c r="E12" t="s">
        <v>73</v>
      </c>
      <c r="F12" t="s">
        <v>74</v>
      </c>
      <c r="G12" t="s">
        <v>75</v>
      </c>
      <c r="H12" t="s">
        <v>76</v>
      </c>
      <c r="I12" t="s">
        <v>55</v>
      </c>
      <c r="J12" t="s">
        <v>77</v>
      </c>
      <c r="M12" s="1" t="s">
        <v>70</v>
      </c>
      <c r="N12" s="2" t="s">
        <v>71</v>
      </c>
      <c r="O12" s="2" t="s">
        <v>72</v>
      </c>
      <c r="P12" s="2" t="s">
        <v>73</v>
      </c>
      <c r="Q12" s="2" t="s">
        <v>74</v>
      </c>
      <c r="R12" s="2" t="s">
        <v>75</v>
      </c>
      <c r="S12" s="2" t="s">
        <v>76</v>
      </c>
      <c r="T12" s="2" t="s">
        <v>55</v>
      </c>
      <c r="U12" s="3" t="s">
        <v>77</v>
      </c>
    </row>
    <row r="13" spans="2:21" x14ac:dyDescent="0.3">
      <c r="B13" t="s">
        <v>78</v>
      </c>
      <c r="C13" t="s">
        <v>79</v>
      </c>
      <c r="D13" t="s">
        <v>80</v>
      </c>
      <c r="E13" t="s">
        <v>81</v>
      </c>
      <c r="F13" t="s">
        <v>82</v>
      </c>
      <c r="G13" t="s">
        <v>32</v>
      </c>
      <c r="H13" t="s">
        <v>33</v>
      </c>
      <c r="I13" t="s">
        <v>55</v>
      </c>
      <c r="J13" t="s">
        <v>47</v>
      </c>
      <c r="M13" s="4" t="s">
        <v>78</v>
      </c>
      <c r="N13" s="5" t="s">
        <v>79</v>
      </c>
      <c r="O13" s="5" t="s">
        <v>80</v>
      </c>
      <c r="P13" s="5" t="s">
        <v>81</v>
      </c>
      <c r="Q13" s="5" t="s">
        <v>82</v>
      </c>
      <c r="R13" s="5" t="s">
        <v>32</v>
      </c>
      <c r="S13" s="5" t="s">
        <v>33</v>
      </c>
      <c r="T13" s="5" t="s">
        <v>55</v>
      </c>
      <c r="U13" s="6" t="s">
        <v>47</v>
      </c>
    </row>
    <row r="14" spans="2:21" x14ac:dyDescent="0.3">
      <c r="B14" t="s">
        <v>83</v>
      </c>
      <c r="C14" t="s">
        <v>84</v>
      </c>
      <c r="D14" t="s">
        <v>85</v>
      </c>
      <c r="E14" t="s">
        <v>86</v>
      </c>
      <c r="F14" t="s">
        <v>87</v>
      </c>
      <c r="G14" t="s">
        <v>32</v>
      </c>
      <c r="H14" t="s">
        <v>33</v>
      </c>
      <c r="I14" t="s">
        <v>25</v>
      </c>
      <c r="J14" t="s">
        <v>26</v>
      </c>
      <c r="M14" s="1" t="s">
        <v>83</v>
      </c>
      <c r="N14" s="2" t="s">
        <v>84</v>
      </c>
      <c r="O14" s="2" t="s">
        <v>85</v>
      </c>
      <c r="P14" s="2" t="s">
        <v>86</v>
      </c>
      <c r="Q14" s="2" t="s">
        <v>87</v>
      </c>
      <c r="R14" s="2" t="s">
        <v>32</v>
      </c>
      <c r="S14" s="2" t="s">
        <v>33</v>
      </c>
      <c r="T14" s="2" t="s">
        <v>25</v>
      </c>
      <c r="U14" s="3" t="s">
        <v>26</v>
      </c>
    </row>
    <row r="15" spans="2:21" x14ac:dyDescent="0.3">
      <c r="B15" t="s">
        <v>88</v>
      </c>
      <c r="C15" t="s">
        <v>89</v>
      </c>
      <c r="D15" t="s">
        <v>90</v>
      </c>
      <c r="E15" t="s">
        <v>91</v>
      </c>
      <c r="F15" t="s">
        <v>92</v>
      </c>
      <c r="G15" t="s">
        <v>62</v>
      </c>
      <c r="H15" t="s">
        <v>62</v>
      </c>
      <c r="I15" t="s">
        <v>16</v>
      </c>
      <c r="J15" t="s">
        <v>17</v>
      </c>
      <c r="M15" s="4" t="s">
        <v>88</v>
      </c>
      <c r="N15" s="5" t="s">
        <v>89</v>
      </c>
      <c r="O15" s="5" t="s">
        <v>90</v>
      </c>
      <c r="P15" s="5" t="s">
        <v>91</v>
      </c>
      <c r="Q15" s="5" t="s">
        <v>92</v>
      </c>
      <c r="R15" s="5" t="s">
        <v>62</v>
      </c>
      <c r="S15" s="5" t="s">
        <v>62</v>
      </c>
      <c r="T15" s="5" t="s">
        <v>16</v>
      </c>
      <c r="U15" s="6" t="s">
        <v>17</v>
      </c>
    </row>
    <row r="16" spans="2:21" x14ac:dyDescent="0.3">
      <c r="B16" t="s">
        <v>93</v>
      </c>
      <c r="C16" t="s">
        <v>94</v>
      </c>
      <c r="D16" t="s">
        <v>95</v>
      </c>
      <c r="E16" t="s">
        <v>96</v>
      </c>
      <c r="F16" t="s">
        <v>97</v>
      </c>
      <c r="G16" t="s">
        <v>75</v>
      </c>
      <c r="H16" t="s">
        <v>76</v>
      </c>
      <c r="I16" t="s">
        <v>98</v>
      </c>
      <c r="J16" t="s">
        <v>26</v>
      </c>
      <c r="M16" s="1" t="s">
        <v>93</v>
      </c>
      <c r="N16" s="2" t="s">
        <v>94</v>
      </c>
      <c r="O16" s="2" t="s">
        <v>95</v>
      </c>
      <c r="P16" s="2" t="s">
        <v>96</v>
      </c>
      <c r="Q16" s="2" t="s">
        <v>97</v>
      </c>
      <c r="R16" s="2" t="s">
        <v>75</v>
      </c>
      <c r="S16" s="2" t="s">
        <v>76</v>
      </c>
      <c r="T16" s="2" t="s">
        <v>98</v>
      </c>
      <c r="U16" s="3" t="s">
        <v>26</v>
      </c>
    </row>
    <row r="17" spans="2:24" x14ac:dyDescent="0.3">
      <c r="B17" t="s">
        <v>99</v>
      </c>
      <c r="C17" t="s">
        <v>100</v>
      </c>
      <c r="D17" t="s">
        <v>101</v>
      </c>
      <c r="E17" t="s">
        <v>102</v>
      </c>
      <c r="F17" t="s">
        <v>103</v>
      </c>
      <c r="G17" t="s">
        <v>53</v>
      </c>
      <c r="H17" t="s">
        <v>54</v>
      </c>
      <c r="I17" t="s">
        <v>63</v>
      </c>
      <c r="J17" t="s">
        <v>104</v>
      </c>
      <c r="M17" s="4" t="s">
        <v>99</v>
      </c>
      <c r="N17" s="5" t="s">
        <v>100</v>
      </c>
      <c r="O17" s="5" t="s">
        <v>101</v>
      </c>
      <c r="P17" s="5" t="s">
        <v>102</v>
      </c>
      <c r="Q17" s="5" t="s">
        <v>103</v>
      </c>
      <c r="R17" s="5" t="s">
        <v>53</v>
      </c>
      <c r="S17" s="5" t="s">
        <v>54</v>
      </c>
      <c r="T17" s="5" t="s">
        <v>63</v>
      </c>
      <c r="U17" s="6" t="s">
        <v>104</v>
      </c>
    </row>
    <row r="18" spans="2:24" x14ac:dyDescent="0.3">
      <c r="B18" t="s">
        <v>105</v>
      </c>
      <c r="C18" t="s">
        <v>106</v>
      </c>
      <c r="D18" t="s">
        <v>107</v>
      </c>
      <c r="E18" t="s">
        <v>108</v>
      </c>
      <c r="F18" t="s">
        <v>109</v>
      </c>
      <c r="G18" t="s">
        <v>75</v>
      </c>
      <c r="H18" t="s">
        <v>76</v>
      </c>
      <c r="I18" t="s">
        <v>98</v>
      </c>
      <c r="J18" t="s">
        <v>26</v>
      </c>
      <c r="M18" s="1" t="s">
        <v>105</v>
      </c>
      <c r="N18" s="2" t="s">
        <v>106</v>
      </c>
      <c r="O18" s="2" t="s">
        <v>107</v>
      </c>
      <c r="P18" s="2" t="s">
        <v>108</v>
      </c>
      <c r="Q18" s="2" t="s">
        <v>109</v>
      </c>
      <c r="R18" s="2" t="s">
        <v>75</v>
      </c>
      <c r="S18" s="2" t="s">
        <v>76</v>
      </c>
      <c r="T18" s="2" t="s">
        <v>98</v>
      </c>
      <c r="U18" s="3" t="s">
        <v>26</v>
      </c>
    </row>
    <row r="19" spans="2:24" x14ac:dyDescent="0.3">
      <c r="B19" t="s">
        <v>110</v>
      </c>
      <c r="C19" t="s">
        <v>111</v>
      </c>
      <c r="D19" t="s">
        <v>112</v>
      </c>
      <c r="E19" t="s">
        <v>113</v>
      </c>
      <c r="F19" t="s">
        <v>114</v>
      </c>
      <c r="G19" t="s">
        <v>14</v>
      </c>
      <c r="H19" t="s">
        <v>15</v>
      </c>
      <c r="I19" t="s">
        <v>115</v>
      </c>
      <c r="J19" t="s">
        <v>26</v>
      </c>
      <c r="M19" s="4" t="s">
        <v>110</v>
      </c>
      <c r="N19" s="5" t="s">
        <v>111</v>
      </c>
      <c r="O19" s="5" t="s">
        <v>112</v>
      </c>
      <c r="P19" s="5" t="s">
        <v>113</v>
      </c>
      <c r="Q19" s="5" t="s">
        <v>114</v>
      </c>
      <c r="R19" s="5" t="s">
        <v>14</v>
      </c>
      <c r="S19" s="5" t="s">
        <v>15</v>
      </c>
      <c r="T19" s="5" t="s">
        <v>115</v>
      </c>
      <c r="U19" s="6" t="s">
        <v>26</v>
      </c>
    </row>
    <row r="20" spans="2:24" x14ac:dyDescent="0.3">
      <c r="B20" t="s">
        <v>116</v>
      </c>
      <c r="C20" t="s">
        <v>117</v>
      </c>
      <c r="D20" t="s">
        <v>118</v>
      </c>
      <c r="E20" t="s">
        <v>119</v>
      </c>
      <c r="F20" t="s">
        <v>120</v>
      </c>
      <c r="G20" t="s">
        <v>121</v>
      </c>
      <c r="H20" t="s">
        <v>122</v>
      </c>
      <c r="I20" t="s">
        <v>55</v>
      </c>
      <c r="J20" t="s">
        <v>26</v>
      </c>
      <c r="M20" s="1" t="s">
        <v>116</v>
      </c>
      <c r="N20" s="2" t="s">
        <v>117</v>
      </c>
      <c r="O20" s="2" t="s">
        <v>118</v>
      </c>
      <c r="P20" s="2" t="s">
        <v>119</v>
      </c>
      <c r="Q20" s="2" t="s">
        <v>120</v>
      </c>
      <c r="R20" s="2" t="s">
        <v>121</v>
      </c>
      <c r="S20" s="2" t="s">
        <v>122</v>
      </c>
      <c r="T20" s="2" t="s">
        <v>55</v>
      </c>
      <c r="U20" s="3" t="s">
        <v>26</v>
      </c>
    </row>
    <row r="21" spans="2:24" x14ac:dyDescent="0.3">
      <c r="B21" t="s">
        <v>123</v>
      </c>
      <c r="C21" t="s">
        <v>124</v>
      </c>
      <c r="D21" t="s">
        <v>125</v>
      </c>
      <c r="E21" t="s">
        <v>126</v>
      </c>
      <c r="F21" t="s">
        <v>127</v>
      </c>
      <c r="G21" t="s">
        <v>62</v>
      </c>
      <c r="H21" t="s">
        <v>62</v>
      </c>
      <c r="I21" t="s">
        <v>98</v>
      </c>
      <c r="J21" t="s">
        <v>26</v>
      </c>
      <c r="M21" s="4" t="s">
        <v>123</v>
      </c>
      <c r="N21" s="5" t="s">
        <v>124</v>
      </c>
      <c r="O21" s="5" t="s">
        <v>125</v>
      </c>
      <c r="P21" s="5" t="s">
        <v>126</v>
      </c>
      <c r="Q21" s="5" t="s">
        <v>127</v>
      </c>
      <c r="R21" s="5" t="s">
        <v>62</v>
      </c>
      <c r="S21" s="5" t="s">
        <v>62</v>
      </c>
      <c r="T21" s="5" t="s">
        <v>98</v>
      </c>
      <c r="U21" s="6" t="s">
        <v>26</v>
      </c>
    </row>
    <row r="22" spans="2:24" x14ac:dyDescent="0.3">
      <c r="B22" t="s">
        <v>128</v>
      </c>
      <c r="C22" t="s">
        <v>129</v>
      </c>
      <c r="D22" t="s">
        <v>130</v>
      </c>
      <c r="E22" t="s">
        <v>131</v>
      </c>
      <c r="F22" t="s">
        <v>132</v>
      </c>
      <c r="G22" t="s">
        <v>133</v>
      </c>
      <c r="H22" t="s">
        <v>134</v>
      </c>
      <c r="I22" t="s">
        <v>55</v>
      </c>
      <c r="J22" t="s">
        <v>26</v>
      </c>
      <c r="M22" s="1" t="s">
        <v>128</v>
      </c>
      <c r="N22" s="2" t="s">
        <v>129</v>
      </c>
      <c r="O22" s="2" t="s">
        <v>130</v>
      </c>
      <c r="P22" s="2" t="s">
        <v>131</v>
      </c>
      <c r="Q22" s="2" t="s">
        <v>132</v>
      </c>
      <c r="R22" s="2" t="s">
        <v>133</v>
      </c>
      <c r="S22" s="2" t="s">
        <v>134</v>
      </c>
      <c r="T22" s="2" t="s">
        <v>55</v>
      </c>
      <c r="U22" s="3" t="s">
        <v>26</v>
      </c>
    </row>
    <row r="23" spans="2:24" x14ac:dyDescent="0.3">
      <c r="B23" t="s">
        <v>135</v>
      </c>
      <c r="C23" t="s">
        <v>136</v>
      </c>
      <c r="D23" t="s">
        <v>137</v>
      </c>
      <c r="E23" t="s">
        <v>138</v>
      </c>
      <c r="F23" t="s">
        <v>139</v>
      </c>
      <c r="G23" t="s">
        <v>140</v>
      </c>
      <c r="H23" t="s">
        <v>141</v>
      </c>
      <c r="I23" t="s">
        <v>16</v>
      </c>
      <c r="J23" t="s">
        <v>41</v>
      </c>
      <c r="M23" s="4" t="s">
        <v>135</v>
      </c>
      <c r="N23" s="5" t="s">
        <v>136</v>
      </c>
      <c r="O23" s="5" t="s">
        <v>137</v>
      </c>
      <c r="P23" s="5" t="s">
        <v>138</v>
      </c>
      <c r="Q23" s="5" t="s">
        <v>139</v>
      </c>
      <c r="R23" s="5" t="s">
        <v>140</v>
      </c>
      <c r="S23" s="5" t="s">
        <v>141</v>
      </c>
      <c r="T23" s="5" t="s">
        <v>16</v>
      </c>
      <c r="U23" s="6" t="s">
        <v>41</v>
      </c>
    </row>
    <row r="24" spans="2:24" x14ac:dyDescent="0.3">
      <c r="B24" t="s">
        <v>142</v>
      </c>
      <c r="C24" t="s">
        <v>143</v>
      </c>
      <c r="D24" t="s">
        <v>144</v>
      </c>
      <c r="E24" t="s">
        <v>145</v>
      </c>
      <c r="F24" t="s">
        <v>146</v>
      </c>
      <c r="G24" t="s">
        <v>140</v>
      </c>
      <c r="H24" t="s">
        <v>141</v>
      </c>
      <c r="I24" t="s">
        <v>63</v>
      </c>
      <c r="J24" t="s">
        <v>64</v>
      </c>
      <c r="M24" s="1" t="s">
        <v>142</v>
      </c>
      <c r="N24" s="2" t="s">
        <v>143</v>
      </c>
      <c r="O24" s="2" t="s">
        <v>144</v>
      </c>
      <c r="P24" s="2" t="s">
        <v>145</v>
      </c>
      <c r="Q24" s="2" t="s">
        <v>146</v>
      </c>
      <c r="R24" s="2" t="s">
        <v>140</v>
      </c>
      <c r="S24" s="2" t="s">
        <v>141</v>
      </c>
      <c r="T24" s="2" t="s">
        <v>63</v>
      </c>
      <c r="U24" s="3" t="s">
        <v>64</v>
      </c>
    </row>
    <row r="25" spans="2:24" x14ac:dyDescent="0.3">
      <c r="B25" t="s">
        <v>147</v>
      </c>
      <c r="C25" t="s">
        <v>148</v>
      </c>
      <c r="D25" t="s">
        <v>149</v>
      </c>
      <c r="E25" t="s">
        <v>45</v>
      </c>
      <c r="F25" t="s">
        <v>46</v>
      </c>
      <c r="G25" t="s">
        <v>39</v>
      </c>
      <c r="H25" t="s">
        <v>40</v>
      </c>
      <c r="I25" t="s">
        <v>55</v>
      </c>
      <c r="J25" t="s">
        <v>150</v>
      </c>
      <c r="M25" s="4" t="s">
        <v>147</v>
      </c>
      <c r="N25" s="5" t="s">
        <v>148</v>
      </c>
      <c r="O25" s="5" t="s">
        <v>149</v>
      </c>
      <c r="P25" s="5" t="s">
        <v>45</v>
      </c>
      <c r="Q25" s="5" t="s">
        <v>46</v>
      </c>
      <c r="R25" s="5" t="s">
        <v>39</v>
      </c>
      <c r="S25" s="5" t="s">
        <v>40</v>
      </c>
      <c r="T25" s="5" t="s">
        <v>55</v>
      </c>
      <c r="U25" s="6" t="s">
        <v>150</v>
      </c>
    </row>
    <row r="26" spans="2:24" x14ac:dyDescent="0.3">
      <c r="B26" t="s">
        <v>151</v>
      </c>
      <c r="C26" t="s">
        <v>152</v>
      </c>
      <c r="D26" t="s">
        <v>153</v>
      </c>
      <c r="E26" t="s">
        <v>154</v>
      </c>
      <c r="F26" t="s">
        <v>155</v>
      </c>
      <c r="G26" t="s">
        <v>140</v>
      </c>
      <c r="H26" t="s">
        <v>141</v>
      </c>
      <c r="I26" t="s">
        <v>25</v>
      </c>
      <c r="J26" t="s">
        <v>26</v>
      </c>
      <c r="M26" s="1" t="s">
        <v>151</v>
      </c>
      <c r="N26" s="2" t="s">
        <v>152</v>
      </c>
      <c r="O26" s="2" t="s">
        <v>153</v>
      </c>
      <c r="P26" s="2" t="s">
        <v>154</v>
      </c>
      <c r="Q26" s="2" t="s">
        <v>155</v>
      </c>
      <c r="R26" s="2" t="s">
        <v>140</v>
      </c>
      <c r="S26" s="2" t="s">
        <v>141</v>
      </c>
      <c r="T26" s="2" t="s">
        <v>25</v>
      </c>
      <c r="U26" s="3" t="s">
        <v>26</v>
      </c>
    </row>
    <row r="31" spans="2:24" x14ac:dyDescent="0.3">
      <c r="E31" t="s">
        <v>9</v>
      </c>
      <c r="F31" t="s">
        <v>10</v>
      </c>
      <c r="G31" t="s">
        <v>11</v>
      </c>
      <c r="H31" t="s">
        <v>12</v>
      </c>
      <c r="I31" t="s">
        <v>13</v>
      </c>
      <c r="J31" t="s">
        <v>14</v>
      </c>
      <c r="K31" t="s">
        <v>15</v>
      </c>
      <c r="L31" t="s">
        <v>16</v>
      </c>
      <c r="M31" t="s">
        <v>17</v>
      </c>
      <c r="P31" s="1"/>
      <c r="Q31" s="2"/>
      <c r="R31" s="2"/>
      <c r="S31" s="2"/>
      <c r="T31" s="2"/>
      <c r="U31" s="2"/>
      <c r="V31" s="2"/>
      <c r="W31" s="2"/>
      <c r="X31" s="3"/>
    </row>
    <row r="32" spans="2:24" x14ac:dyDescent="0.3">
      <c r="E32" t="s">
        <v>18</v>
      </c>
      <c r="F32" t="s">
        <v>19</v>
      </c>
      <c r="G32" t="s">
        <v>20</v>
      </c>
      <c r="H32" t="s">
        <v>21</v>
      </c>
      <c r="I32" t="s">
        <v>22</v>
      </c>
      <c r="J32" t="s">
        <v>23</v>
      </c>
      <c r="K32" t="s">
        <v>24</v>
      </c>
      <c r="L32" t="s">
        <v>25</v>
      </c>
      <c r="M32" t="s">
        <v>26</v>
      </c>
      <c r="P32" s="4"/>
      <c r="Q32" s="5"/>
      <c r="R32" s="5"/>
      <c r="S32" s="5"/>
      <c r="T32" s="5"/>
      <c r="U32" s="5"/>
      <c r="V32" s="5"/>
      <c r="W32" s="5"/>
      <c r="X32" s="6"/>
    </row>
    <row r="33" spans="5:24" x14ac:dyDescent="0.3">
      <c r="E33" t="s">
        <v>27</v>
      </c>
      <c r="F33" t="s">
        <v>28</v>
      </c>
      <c r="G33" t="s">
        <v>29</v>
      </c>
      <c r="H33" t="s">
        <v>30</v>
      </c>
      <c r="I33" t="s">
        <v>31</v>
      </c>
      <c r="J33" t="s">
        <v>32</v>
      </c>
      <c r="K33" t="s">
        <v>33</v>
      </c>
      <c r="L33" t="s">
        <v>16</v>
      </c>
      <c r="M33" t="s">
        <v>17</v>
      </c>
      <c r="P33" s="1"/>
      <c r="Q33" s="2"/>
      <c r="R33" s="2"/>
      <c r="S33" s="2"/>
      <c r="T33" s="2"/>
      <c r="U33" s="2"/>
      <c r="V33" s="2"/>
      <c r="W33" s="2"/>
      <c r="X33" s="3"/>
    </row>
    <row r="34" spans="5:24" x14ac:dyDescent="0.3">
      <c r="E34" t="s">
        <v>34</v>
      </c>
      <c r="F34" t="s">
        <v>35</v>
      </c>
      <c r="G34" t="s">
        <v>36</v>
      </c>
      <c r="H34" t="s">
        <v>37</v>
      </c>
      <c r="I34" t="s">
        <v>38</v>
      </c>
      <c r="J34" t="s">
        <v>39</v>
      </c>
      <c r="K34" t="s">
        <v>40</v>
      </c>
      <c r="L34" t="s">
        <v>16</v>
      </c>
      <c r="M34" t="s">
        <v>41</v>
      </c>
      <c r="P34" s="4"/>
      <c r="Q34" s="5"/>
      <c r="R34" s="5"/>
      <c r="S34" s="5"/>
      <c r="T34" s="5"/>
      <c r="U34" s="5"/>
      <c r="V34" s="5"/>
      <c r="W34" s="5"/>
      <c r="X34" s="6"/>
    </row>
    <row r="35" spans="5:24" x14ac:dyDescent="0.3">
      <c r="E35" t="s">
        <v>42</v>
      </c>
      <c r="F35" t="s">
        <v>43</v>
      </c>
      <c r="G35" t="s">
        <v>44</v>
      </c>
      <c r="H35" t="s">
        <v>45</v>
      </c>
      <c r="I35" t="s">
        <v>46</v>
      </c>
      <c r="J35" t="s">
        <v>39</v>
      </c>
      <c r="K35" t="s">
        <v>40</v>
      </c>
      <c r="L35" t="s">
        <v>16</v>
      </c>
      <c r="M35" t="s">
        <v>47</v>
      </c>
      <c r="P35" s="1"/>
      <c r="Q35" s="2"/>
      <c r="R35" s="2"/>
      <c r="S35" s="2"/>
      <c r="T35" s="2"/>
      <c r="U35" s="19"/>
      <c r="V35" s="2"/>
      <c r="W35" s="2"/>
      <c r="X35" s="3"/>
    </row>
    <row r="36" spans="5:24" x14ac:dyDescent="0.3">
      <c r="E36" t="s">
        <v>48</v>
      </c>
      <c r="F36" t="s">
        <v>49</v>
      </c>
      <c r="G36" t="s">
        <v>50</v>
      </c>
      <c r="H36" t="s">
        <v>51</v>
      </c>
      <c r="I36" t="s">
        <v>52</v>
      </c>
      <c r="J36" t="s">
        <v>53</v>
      </c>
      <c r="K36" t="s">
        <v>54</v>
      </c>
      <c r="L36" t="s">
        <v>55</v>
      </c>
      <c r="M36" t="s">
        <v>56</v>
      </c>
      <c r="P36" s="4"/>
      <c r="Q36" s="5"/>
      <c r="R36" s="5"/>
      <c r="S36" s="5"/>
      <c r="T36" s="5"/>
      <c r="U36" s="5"/>
      <c r="V36" s="5"/>
      <c r="W36" s="5"/>
      <c r="X36" s="6"/>
    </row>
    <row r="37" spans="5:24" x14ac:dyDescent="0.3">
      <c r="E37" t="s">
        <v>57</v>
      </c>
      <c r="F37" t="s">
        <v>58</v>
      </c>
      <c r="G37" t="s">
        <v>59</v>
      </c>
      <c r="H37" t="s">
        <v>60</v>
      </c>
      <c r="I37" t="s">
        <v>61</v>
      </c>
      <c r="J37" t="s">
        <v>62</v>
      </c>
      <c r="K37" t="s">
        <v>62</v>
      </c>
      <c r="L37" t="s">
        <v>63</v>
      </c>
      <c r="M37" t="s">
        <v>64</v>
      </c>
      <c r="P37" s="1"/>
      <c r="Q37" s="2"/>
      <c r="R37" s="2"/>
      <c r="S37" s="2"/>
      <c r="T37" s="2"/>
      <c r="U37" s="2"/>
      <c r="V37" s="2"/>
      <c r="W37" s="2"/>
      <c r="X37" s="3"/>
    </row>
    <row r="38" spans="5:24" x14ac:dyDescent="0.3">
      <c r="E38" t="s">
        <v>65</v>
      </c>
      <c r="F38" t="s">
        <v>66</v>
      </c>
      <c r="G38" t="s">
        <v>67</v>
      </c>
      <c r="H38" t="s">
        <v>68</v>
      </c>
      <c r="I38" t="s">
        <v>69</v>
      </c>
      <c r="J38" t="s">
        <v>39</v>
      </c>
      <c r="K38" t="s">
        <v>40</v>
      </c>
      <c r="L38" t="s">
        <v>63</v>
      </c>
      <c r="M38" t="s">
        <v>64</v>
      </c>
      <c r="P38" s="4"/>
      <c r="Q38" s="5"/>
      <c r="R38" s="5"/>
      <c r="S38" s="5"/>
      <c r="T38" s="5"/>
      <c r="U38" s="5"/>
      <c r="V38" s="5"/>
      <c r="W38" s="5"/>
      <c r="X38" s="6"/>
    </row>
    <row r="39" spans="5:24" x14ac:dyDescent="0.3">
      <c r="E39" t="s">
        <v>70</v>
      </c>
      <c r="F39" t="s">
        <v>71</v>
      </c>
      <c r="G39" t="s">
        <v>72</v>
      </c>
      <c r="H39" t="s">
        <v>73</v>
      </c>
      <c r="I39" t="s">
        <v>74</v>
      </c>
      <c r="J39" t="s">
        <v>75</v>
      </c>
      <c r="K39" t="s">
        <v>76</v>
      </c>
      <c r="L39" t="s">
        <v>55</v>
      </c>
      <c r="M39" t="s">
        <v>77</v>
      </c>
      <c r="P39" s="1"/>
      <c r="Q39" s="2"/>
      <c r="R39" s="2"/>
      <c r="S39" s="2"/>
      <c r="T39" s="2"/>
      <c r="U39" s="2"/>
      <c r="V39" s="2"/>
      <c r="W39" s="2"/>
      <c r="X39" s="3"/>
    </row>
    <row r="40" spans="5:24" x14ac:dyDescent="0.3">
      <c r="E40" t="s">
        <v>78</v>
      </c>
      <c r="F40" t="s">
        <v>79</v>
      </c>
      <c r="G40" t="s">
        <v>80</v>
      </c>
      <c r="H40" t="s">
        <v>81</v>
      </c>
      <c r="I40" t="s">
        <v>82</v>
      </c>
      <c r="J40" t="s">
        <v>32</v>
      </c>
      <c r="K40" t="s">
        <v>33</v>
      </c>
      <c r="L40" t="s">
        <v>55</v>
      </c>
      <c r="M40" t="s">
        <v>47</v>
      </c>
      <c r="P40" s="4"/>
      <c r="Q40" s="5"/>
      <c r="R40" s="5"/>
      <c r="S40" s="5"/>
      <c r="T40" s="5"/>
      <c r="U40" s="5"/>
      <c r="V40" s="5"/>
      <c r="W40" s="5"/>
      <c r="X40" s="6"/>
    </row>
    <row r="41" spans="5:24" x14ac:dyDescent="0.3">
      <c r="E41" t="s">
        <v>83</v>
      </c>
      <c r="F41" t="s">
        <v>84</v>
      </c>
      <c r="G41" t="s">
        <v>85</v>
      </c>
      <c r="H41" t="s">
        <v>86</v>
      </c>
      <c r="I41" t="s">
        <v>87</v>
      </c>
      <c r="J41" t="s">
        <v>32</v>
      </c>
      <c r="K41" t="s">
        <v>33</v>
      </c>
      <c r="L41" t="s">
        <v>25</v>
      </c>
      <c r="M41" t="s">
        <v>26</v>
      </c>
      <c r="P41" s="1"/>
      <c r="Q41" s="2"/>
      <c r="R41" s="2"/>
      <c r="S41" s="2"/>
      <c r="T41" s="2"/>
      <c r="U41" s="2"/>
      <c r="V41" s="2"/>
      <c r="W41" s="2"/>
      <c r="X41" s="3"/>
    </row>
    <row r="42" spans="5:24" x14ac:dyDescent="0.3">
      <c r="E42" t="s">
        <v>88</v>
      </c>
      <c r="F42" t="s">
        <v>89</v>
      </c>
      <c r="G42" t="s">
        <v>90</v>
      </c>
      <c r="H42" t="s">
        <v>91</v>
      </c>
      <c r="I42" t="s">
        <v>92</v>
      </c>
      <c r="J42" t="s">
        <v>62</v>
      </c>
      <c r="K42" t="s">
        <v>62</v>
      </c>
      <c r="L42" t="s">
        <v>16</v>
      </c>
      <c r="M42" t="s">
        <v>17</v>
      </c>
      <c r="P42" s="4"/>
      <c r="Q42" s="5"/>
      <c r="R42" s="5"/>
      <c r="S42" s="5"/>
      <c r="T42" s="5"/>
      <c r="U42" s="5"/>
      <c r="V42" s="5"/>
      <c r="W42" s="5"/>
      <c r="X42" s="6"/>
    </row>
    <row r="43" spans="5:24" x14ac:dyDescent="0.3">
      <c r="E43" t="s">
        <v>93</v>
      </c>
      <c r="F43" t="s">
        <v>94</v>
      </c>
      <c r="G43" t="s">
        <v>95</v>
      </c>
      <c r="H43" t="s">
        <v>96</v>
      </c>
      <c r="I43" t="s">
        <v>97</v>
      </c>
      <c r="J43" t="s">
        <v>75</v>
      </c>
      <c r="K43" t="s">
        <v>76</v>
      </c>
      <c r="L43" t="s">
        <v>98</v>
      </c>
      <c r="M43" t="s">
        <v>26</v>
      </c>
      <c r="P43" s="1"/>
      <c r="Q43" s="2"/>
      <c r="R43" s="2"/>
      <c r="S43" s="2"/>
      <c r="T43" s="2"/>
      <c r="U43" s="2"/>
      <c r="V43" s="2"/>
      <c r="W43" s="2"/>
      <c r="X43" s="3"/>
    </row>
    <row r="44" spans="5:24" x14ac:dyDescent="0.3">
      <c r="E44" t="s">
        <v>99</v>
      </c>
      <c r="F44" t="s">
        <v>100</v>
      </c>
      <c r="G44" t="s">
        <v>101</v>
      </c>
      <c r="H44" t="s">
        <v>102</v>
      </c>
      <c r="I44" t="s">
        <v>103</v>
      </c>
      <c r="J44" t="s">
        <v>53</v>
      </c>
      <c r="K44" t="s">
        <v>54</v>
      </c>
      <c r="L44" t="s">
        <v>63</v>
      </c>
      <c r="M44" t="s">
        <v>104</v>
      </c>
      <c r="P44" s="4"/>
      <c r="Q44" s="5"/>
      <c r="R44" s="5"/>
      <c r="S44" s="5"/>
      <c r="T44" s="5"/>
      <c r="U44" s="5"/>
      <c r="V44" s="5"/>
      <c r="W44" s="5"/>
      <c r="X44" s="6"/>
    </row>
    <row r="45" spans="5:24" x14ac:dyDescent="0.3">
      <c r="E45" t="s">
        <v>105</v>
      </c>
      <c r="F45" t="s">
        <v>106</v>
      </c>
      <c r="G45" t="s">
        <v>107</v>
      </c>
      <c r="H45" t="s">
        <v>108</v>
      </c>
      <c r="I45" t="s">
        <v>109</v>
      </c>
      <c r="J45" t="s">
        <v>75</v>
      </c>
      <c r="K45" t="s">
        <v>76</v>
      </c>
      <c r="L45" t="s">
        <v>98</v>
      </c>
      <c r="M45" t="s">
        <v>26</v>
      </c>
      <c r="P45" s="1"/>
      <c r="Q45" s="2"/>
      <c r="R45" s="2"/>
      <c r="S45" s="2"/>
      <c r="T45" s="2"/>
      <c r="U45" s="2"/>
      <c r="V45" s="2"/>
      <c r="W45" s="2"/>
      <c r="X45" s="3"/>
    </row>
    <row r="46" spans="5:24" x14ac:dyDescent="0.3">
      <c r="E46" t="s">
        <v>110</v>
      </c>
      <c r="F46" t="s">
        <v>111</v>
      </c>
      <c r="G46" t="s">
        <v>112</v>
      </c>
      <c r="H46" t="s">
        <v>113</v>
      </c>
      <c r="I46" t="s">
        <v>114</v>
      </c>
      <c r="J46" t="s">
        <v>14</v>
      </c>
      <c r="K46" t="s">
        <v>15</v>
      </c>
      <c r="L46" t="s">
        <v>115</v>
      </c>
      <c r="M46" t="s">
        <v>26</v>
      </c>
      <c r="P46" s="4"/>
      <c r="Q46" s="5"/>
      <c r="R46" s="5"/>
      <c r="S46" s="5"/>
      <c r="T46" s="5"/>
      <c r="U46" s="5"/>
      <c r="V46" s="5"/>
      <c r="W46" s="5"/>
      <c r="X46" s="6"/>
    </row>
    <row r="47" spans="5:24" x14ac:dyDescent="0.3">
      <c r="E47" t="s">
        <v>116</v>
      </c>
      <c r="F47" t="s">
        <v>117</v>
      </c>
      <c r="G47" t="s">
        <v>118</v>
      </c>
      <c r="H47" t="s">
        <v>119</v>
      </c>
      <c r="I47" t="s">
        <v>120</v>
      </c>
      <c r="J47" t="s">
        <v>121</v>
      </c>
      <c r="K47" t="s">
        <v>122</v>
      </c>
      <c r="L47" t="s">
        <v>55</v>
      </c>
      <c r="M47" t="s">
        <v>26</v>
      </c>
      <c r="P47" s="1"/>
      <c r="Q47" s="2"/>
      <c r="R47" s="2"/>
      <c r="S47" s="2"/>
      <c r="T47" s="2"/>
      <c r="U47" s="2"/>
      <c r="V47" s="2"/>
      <c r="W47" s="2"/>
      <c r="X47" s="3"/>
    </row>
    <row r="48" spans="5:24" x14ac:dyDescent="0.3">
      <c r="E48" t="s">
        <v>123</v>
      </c>
      <c r="F48" t="s">
        <v>124</v>
      </c>
      <c r="G48" t="s">
        <v>125</v>
      </c>
      <c r="H48" t="s">
        <v>126</v>
      </c>
      <c r="I48" t="s">
        <v>127</v>
      </c>
      <c r="J48" t="s">
        <v>62</v>
      </c>
      <c r="K48" t="s">
        <v>62</v>
      </c>
      <c r="L48" t="s">
        <v>98</v>
      </c>
      <c r="M48" t="s">
        <v>26</v>
      </c>
      <c r="P48" s="4"/>
      <c r="Q48" s="5"/>
      <c r="R48" s="5"/>
      <c r="S48" s="5"/>
      <c r="T48" s="5"/>
      <c r="U48" s="5"/>
      <c r="V48" s="5"/>
      <c r="W48" s="5"/>
      <c r="X48" s="6"/>
    </row>
    <row r="49" spans="5:24" x14ac:dyDescent="0.3">
      <c r="E49" t="s">
        <v>128</v>
      </c>
      <c r="F49" t="s">
        <v>129</v>
      </c>
      <c r="G49" t="s">
        <v>130</v>
      </c>
      <c r="H49" t="s">
        <v>131</v>
      </c>
      <c r="I49" t="s">
        <v>132</v>
      </c>
      <c r="J49" t="s">
        <v>133</v>
      </c>
      <c r="K49" t="s">
        <v>134</v>
      </c>
      <c r="L49" t="s">
        <v>55</v>
      </c>
      <c r="M49" t="s">
        <v>26</v>
      </c>
      <c r="P49" s="1"/>
      <c r="Q49" s="2"/>
      <c r="R49" s="2"/>
      <c r="S49" s="2"/>
      <c r="T49" s="2"/>
      <c r="U49" s="2"/>
      <c r="V49" s="2"/>
      <c r="W49" s="2"/>
      <c r="X49" s="3"/>
    </row>
    <row r="50" spans="5:24" x14ac:dyDescent="0.3">
      <c r="E50" t="s">
        <v>135</v>
      </c>
      <c r="F50" t="s">
        <v>136</v>
      </c>
      <c r="G50" t="s">
        <v>137</v>
      </c>
      <c r="H50" t="s">
        <v>138</v>
      </c>
      <c r="I50" t="s">
        <v>139</v>
      </c>
      <c r="J50" t="s">
        <v>140</v>
      </c>
      <c r="K50" t="s">
        <v>141</v>
      </c>
      <c r="L50" t="s">
        <v>16</v>
      </c>
      <c r="M50" t="s">
        <v>41</v>
      </c>
      <c r="P50" s="4"/>
      <c r="Q50" s="5"/>
      <c r="R50" s="5"/>
      <c r="S50" s="5"/>
      <c r="T50" s="5"/>
      <c r="U50" s="5"/>
      <c r="V50" s="5"/>
      <c r="W50" s="5"/>
      <c r="X50" s="6"/>
    </row>
    <row r="51" spans="5:24" x14ac:dyDescent="0.3">
      <c r="E51" t="s">
        <v>142</v>
      </c>
      <c r="F51" t="s">
        <v>143</v>
      </c>
      <c r="G51" t="s">
        <v>144</v>
      </c>
      <c r="H51" t="s">
        <v>145</v>
      </c>
      <c r="I51" t="s">
        <v>146</v>
      </c>
      <c r="J51" t="s">
        <v>140</v>
      </c>
      <c r="K51" t="s">
        <v>141</v>
      </c>
      <c r="L51" t="s">
        <v>63</v>
      </c>
      <c r="M51" t="s">
        <v>64</v>
      </c>
      <c r="P51" s="1"/>
      <c r="Q51" s="2"/>
      <c r="R51" s="2"/>
      <c r="S51" s="2"/>
      <c r="T51" s="2"/>
      <c r="U51" s="2"/>
      <c r="V51" s="2"/>
      <c r="W51" s="2"/>
      <c r="X51" s="3"/>
    </row>
    <row r="52" spans="5:24" x14ac:dyDescent="0.3">
      <c r="E52" t="s">
        <v>147</v>
      </c>
      <c r="F52" t="s">
        <v>148</v>
      </c>
      <c r="G52" t="s">
        <v>149</v>
      </c>
      <c r="H52" t="s">
        <v>45</v>
      </c>
      <c r="I52" t="s">
        <v>46</v>
      </c>
      <c r="J52" t="s">
        <v>39</v>
      </c>
      <c r="K52" t="s">
        <v>40</v>
      </c>
      <c r="L52" t="s">
        <v>55</v>
      </c>
      <c r="M52" t="s">
        <v>150</v>
      </c>
      <c r="P52" s="4"/>
      <c r="Q52" s="5"/>
      <c r="R52" s="5"/>
      <c r="S52" s="5"/>
      <c r="T52" s="5"/>
      <c r="U52" s="5"/>
      <c r="V52" s="5"/>
      <c r="W52" s="5"/>
      <c r="X52" s="6"/>
    </row>
    <row r="53" spans="5:24" x14ac:dyDescent="0.3">
      <c r="E53" t="s">
        <v>151</v>
      </c>
      <c r="F53" t="s">
        <v>152</v>
      </c>
      <c r="G53" t="s">
        <v>153</v>
      </c>
      <c r="H53" t="s">
        <v>154</v>
      </c>
      <c r="I53" t="s">
        <v>155</v>
      </c>
      <c r="J53" t="s">
        <v>140</v>
      </c>
      <c r="K53" t="s">
        <v>141</v>
      </c>
      <c r="L53" t="s">
        <v>25</v>
      </c>
      <c r="M53" t="s">
        <v>26</v>
      </c>
      <c r="P53" s="1"/>
      <c r="Q53" s="2"/>
      <c r="R53" s="2"/>
      <c r="S53" s="2"/>
      <c r="T53" s="2"/>
      <c r="U53" s="2"/>
      <c r="V53" s="2"/>
      <c r="W53" s="2"/>
      <c r="X53" s="3"/>
    </row>
    <row r="60" spans="5:24" x14ac:dyDescent="0.3">
      <c r="F60" s="1"/>
      <c r="G60" s="2"/>
      <c r="H60" s="2"/>
      <c r="I60" s="2"/>
      <c r="J60" s="2"/>
      <c r="K60" s="2"/>
      <c r="L60" s="2"/>
      <c r="M60" s="2"/>
      <c r="N60" s="3"/>
    </row>
    <row r="61" spans="5:24" x14ac:dyDescent="0.3">
      <c r="F61" s="4"/>
      <c r="G61" s="5"/>
      <c r="H61" s="5"/>
      <c r="I61" s="5"/>
      <c r="J61" s="5"/>
      <c r="K61" s="5"/>
      <c r="L61" s="5"/>
      <c r="M61" s="5"/>
      <c r="N61" s="6"/>
    </row>
    <row r="62" spans="5:24" x14ac:dyDescent="0.3">
      <c r="F62" s="1"/>
      <c r="G62" s="2"/>
      <c r="H62" s="2"/>
      <c r="I62" s="2"/>
      <c r="J62" s="2"/>
      <c r="K62" s="2"/>
      <c r="L62" s="2"/>
      <c r="M62" s="2"/>
      <c r="N62" s="3"/>
    </row>
    <row r="63" spans="5:24" x14ac:dyDescent="0.3">
      <c r="F63" s="4"/>
      <c r="G63" s="5"/>
      <c r="H63" s="5"/>
      <c r="I63" s="5"/>
      <c r="J63" s="5"/>
      <c r="K63" s="5"/>
      <c r="L63" s="5"/>
      <c r="M63" s="5"/>
      <c r="N63" s="6"/>
    </row>
    <row r="64" spans="5:24" x14ac:dyDescent="0.3">
      <c r="F64" s="1"/>
      <c r="G64" s="2"/>
      <c r="H64" s="2"/>
      <c r="I64" s="2"/>
      <c r="J64" s="2"/>
      <c r="K64" s="19"/>
      <c r="L64" s="2"/>
      <c r="M64" s="2"/>
      <c r="N64" s="3"/>
    </row>
    <row r="65" spans="6:14" x14ac:dyDescent="0.3">
      <c r="F65" s="4"/>
      <c r="G65" s="5"/>
      <c r="H65" s="5"/>
      <c r="I65" s="5"/>
      <c r="J65" s="5"/>
      <c r="K65" s="5"/>
      <c r="L65" s="5"/>
      <c r="M65" s="5"/>
      <c r="N65" s="6"/>
    </row>
    <row r="66" spans="6:14" x14ac:dyDescent="0.3">
      <c r="F66" s="1"/>
      <c r="G66" s="2"/>
      <c r="H66" s="2"/>
      <c r="I66" s="2"/>
      <c r="J66" s="2"/>
      <c r="K66" s="2"/>
      <c r="L66" s="2"/>
      <c r="M66" s="2"/>
      <c r="N66" s="3"/>
    </row>
    <row r="67" spans="6:14" x14ac:dyDescent="0.3">
      <c r="F67" s="4"/>
      <c r="G67" s="5"/>
      <c r="H67" s="5"/>
      <c r="I67" s="5"/>
      <c r="J67" s="5"/>
      <c r="K67" s="5"/>
      <c r="L67" s="5"/>
      <c r="M67" s="5"/>
      <c r="N67" s="6"/>
    </row>
    <row r="68" spans="6:14" x14ac:dyDescent="0.3">
      <c r="F68" s="1"/>
      <c r="G68" s="2"/>
      <c r="H68" s="2"/>
      <c r="I68" s="2"/>
      <c r="J68" s="2"/>
      <c r="K68" s="2"/>
      <c r="L68" s="2"/>
      <c r="M68" s="2"/>
      <c r="N68" s="3"/>
    </row>
    <row r="69" spans="6:14" x14ac:dyDescent="0.3">
      <c r="F69" s="4"/>
      <c r="G69" s="5"/>
      <c r="H69" s="5"/>
      <c r="I69" s="5"/>
      <c r="J69" s="5"/>
      <c r="K69" s="5"/>
      <c r="L69" s="5"/>
      <c r="M69" s="5"/>
      <c r="N69" s="6"/>
    </row>
    <row r="70" spans="6:14" x14ac:dyDescent="0.3">
      <c r="F70" s="1"/>
      <c r="G70" s="2"/>
      <c r="H70" s="2"/>
      <c r="I70" s="2"/>
      <c r="J70" s="2"/>
      <c r="K70" s="2"/>
      <c r="L70" s="2"/>
      <c r="M70" s="2"/>
      <c r="N70" s="3"/>
    </row>
    <row r="71" spans="6:14" x14ac:dyDescent="0.3">
      <c r="F71" s="4"/>
      <c r="G71" s="5"/>
      <c r="H71" s="5"/>
      <c r="I71" s="5"/>
      <c r="J71" s="5"/>
      <c r="K71" s="5"/>
      <c r="L71" s="5"/>
      <c r="M71" s="5"/>
      <c r="N71" s="6"/>
    </row>
    <row r="72" spans="6:14" x14ac:dyDescent="0.3">
      <c r="F72" s="1"/>
      <c r="G72" s="2"/>
      <c r="H72" s="2"/>
      <c r="I72" s="2"/>
      <c r="J72" s="2"/>
      <c r="K72" s="2"/>
      <c r="L72" s="2"/>
      <c r="M72" s="2"/>
      <c r="N72" s="3"/>
    </row>
    <row r="73" spans="6:14" x14ac:dyDescent="0.3">
      <c r="F73" s="4"/>
      <c r="G73" s="5"/>
      <c r="H73" s="5"/>
      <c r="I73" s="5"/>
      <c r="J73" s="5"/>
      <c r="K73" s="5"/>
      <c r="L73" s="5"/>
      <c r="M73" s="5"/>
      <c r="N73" s="6"/>
    </row>
    <row r="74" spans="6:14" x14ac:dyDescent="0.3">
      <c r="F74" s="1"/>
      <c r="G74" s="2"/>
      <c r="H74" s="2"/>
      <c r="I74" s="2"/>
      <c r="J74" s="2"/>
      <c r="K74" s="2"/>
      <c r="L74" s="2"/>
      <c r="M74" s="2"/>
      <c r="N74" s="3"/>
    </row>
    <row r="75" spans="6:14" x14ac:dyDescent="0.3">
      <c r="F75" s="4"/>
      <c r="G75" s="5"/>
      <c r="H75" s="5"/>
      <c r="I75" s="5"/>
      <c r="J75" s="5"/>
      <c r="K75" s="5"/>
      <c r="L75" s="5"/>
      <c r="M75" s="5"/>
      <c r="N75" s="6"/>
    </row>
    <row r="76" spans="6:14" x14ac:dyDescent="0.3">
      <c r="F76" s="1"/>
      <c r="G76" s="2"/>
      <c r="H76" s="2"/>
      <c r="I76" s="2"/>
      <c r="J76" s="2"/>
      <c r="K76" s="2"/>
      <c r="L76" s="2"/>
      <c r="M76" s="2"/>
      <c r="N76" s="3"/>
    </row>
    <row r="77" spans="6:14" x14ac:dyDescent="0.3">
      <c r="F77" s="4"/>
      <c r="G77" s="5"/>
      <c r="H77" s="5"/>
      <c r="I77" s="5"/>
      <c r="J77" s="5"/>
      <c r="K77" s="5"/>
      <c r="L77" s="5"/>
      <c r="M77" s="5"/>
      <c r="N77" s="6"/>
    </row>
    <row r="78" spans="6:14" x14ac:dyDescent="0.3">
      <c r="F78" s="1"/>
      <c r="G78" s="2"/>
      <c r="H78" s="2"/>
      <c r="I78" s="2"/>
      <c r="J78" s="2"/>
      <c r="K78" s="2"/>
      <c r="L78" s="2"/>
      <c r="M78" s="2"/>
      <c r="N78" s="3"/>
    </row>
    <row r="79" spans="6:14" x14ac:dyDescent="0.3">
      <c r="F79" s="4"/>
      <c r="G79" s="5"/>
      <c r="H79" s="5"/>
      <c r="I79" s="5"/>
      <c r="J79" s="5"/>
      <c r="K79" s="5"/>
      <c r="L79" s="5"/>
      <c r="M79" s="5"/>
      <c r="N79" s="6"/>
    </row>
    <row r="80" spans="6:14" x14ac:dyDescent="0.3">
      <c r="F80" s="1"/>
      <c r="G80" s="2"/>
      <c r="H80" s="2"/>
      <c r="I80" s="2"/>
      <c r="J80" s="2"/>
      <c r="K80" s="2"/>
      <c r="L80" s="2"/>
      <c r="M80" s="2"/>
      <c r="N80" s="3"/>
    </row>
    <row r="81" spans="6:14" x14ac:dyDescent="0.3">
      <c r="F81" s="4"/>
      <c r="G81" s="5"/>
      <c r="H81" s="5"/>
      <c r="I81" s="5"/>
      <c r="J81" s="5"/>
      <c r="K81" s="5"/>
      <c r="L81" s="5"/>
      <c r="M81" s="5"/>
      <c r="N81" s="6"/>
    </row>
    <row r="82" spans="6:14" x14ac:dyDescent="0.3">
      <c r="F82" s="1"/>
      <c r="G82" s="2"/>
      <c r="H82" s="2"/>
      <c r="I82" s="2"/>
      <c r="J82" s="2"/>
      <c r="K82" s="2"/>
      <c r="L82" s="2"/>
      <c r="M82" s="2"/>
      <c r="N82" s="3"/>
    </row>
  </sheetData>
  <conditionalFormatting sqref="O1:O1048576">
    <cfRule type="containsText" dxfId="57" priority="1" operator="containsText" text="100359">
      <formula>NOT(ISERROR(SEARCH("100359",O1)))</formula>
    </cfRule>
  </conditionalFormatting>
  <hyperlinks>
    <hyperlink ref="G8" r:id="rId1" xr:uid="{1AE72818-DC47-4586-A551-4BE7B06D39BB}"/>
    <hyperlink ref="R8" r:id="rId2" xr:uid="{21037A97-7DA7-4435-99FF-8C9F4ABAC53C}"/>
  </hyperlinks>
  <pageMargins left="0.7" right="0.7" top="0.75" bottom="0.75" header="0.3" footer="0.3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Sheet3</vt:lpstr>
      <vt:lpstr>Sheet5</vt:lpstr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Aamit makode</dc:creator>
  <cp:lastModifiedBy>Aamit makode</cp:lastModifiedBy>
  <dcterms:created xsi:type="dcterms:W3CDTF">2026-05-13T03:49:41Z</dcterms:created>
  <dcterms:modified xsi:type="dcterms:W3CDTF">2026-05-13T04:59:53Z</dcterms:modified>
</cp:coreProperties>
</file>