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m\downloads\"/>
    </mc:Choice>
  </mc:AlternateContent>
  <xr:revisionPtr revIDLastSave="0" documentId="13_ncr:1_{DE2E03E5-12D1-4353-86CB-EC768AC119BF}" xr6:coauthVersionLast="47" xr6:coauthVersionMax="47" xr10:uidLastSave="{00000000-0000-0000-0000-000000000000}"/>
  <bookViews>
    <workbookView xWindow="-108" yWindow="-108" windowWidth="23256" windowHeight="12456" activeTab="11" xr2:uid="{19057290-13B9-4999-BB16-09579DC95B3C}"/>
  </bookViews>
  <sheets>
    <sheet name="Sheet4" sheetId="5" r:id="rId1"/>
    <sheet name="Sheet1" sheetId="1" r:id="rId2"/>
    <sheet name="city-1" sheetId="3" r:id="rId3"/>
    <sheet name="city-2" sheetId="6" r:id="rId4"/>
    <sheet name="city-3" sheetId="7" r:id="rId5"/>
    <sheet name="city-4" sheetId="9" r:id="rId6"/>
    <sheet name="Sheet7" sheetId="8" r:id="rId7"/>
    <sheet name="Sheet9" sheetId="10" r:id="rId8"/>
    <sheet name="Sheet10" sheetId="11" r:id="rId9"/>
    <sheet name="Sheet11" sheetId="12" r:id="rId10"/>
    <sheet name="Data" sheetId="14" r:id="rId11"/>
    <sheet name="Sheet12" sheetId="13" r:id="rId12"/>
  </sheets>
  <definedNames>
    <definedName name="_xlnm._FilterDatabase" localSheetId="1" hidden="1">Sheet1!$A$1:$J$21</definedName>
    <definedName name="_xlnm._FilterDatabase" localSheetId="9" hidden="1">Sheet11!$A$1:$I$21</definedName>
    <definedName name="ab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3" i="13" l="1" a="1"/>
  <c r="M13" i="13" s="1"/>
  <c r="D13" i="13" a="1"/>
  <c r="D13" i="13" s="1"/>
  <c r="A2" i="13" a="1"/>
  <c r="A2" i="13" s="1"/>
  <c r="G26" i="12" a="1"/>
  <c r="G26" i="12" s="1"/>
  <c r="E26" i="12" a="1"/>
  <c r="E26" i="12" s="1"/>
  <c r="H11" i="10"/>
  <c r="C2" i="10"/>
  <c r="D2" i="10"/>
  <c r="C3" i="10"/>
  <c r="D3" i="10"/>
  <c r="C4" i="10"/>
  <c r="D4" i="10"/>
  <c r="C5" i="10"/>
  <c r="C6" i="10" s="1"/>
  <c r="D5" i="10"/>
  <c r="D6" i="10" s="1"/>
  <c r="C7" i="10"/>
  <c r="D7" i="10"/>
  <c r="C8" i="10"/>
  <c r="D8" i="10"/>
  <c r="C9" i="10"/>
  <c r="C11" i="10" s="1"/>
  <c r="D9" i="10"/>
  <c r="D11" i="10" s="1"/>
  <c r="C10" i="10"/>
  <c r="D10" i="10"/>
  <c r="C12" i="10"/>
  <c r="C13" i="10"/>
  <c r="D12" i="10"/>
  <c r="D20" i="10" s="1"/>
  <c r="D13" i="10"/>
  <c r="C14" i="10"/>
  <c r="C20" i="10" s="1"/>
  <c r="C15" i="10"/>
  <c r="D14" i="10"/>
  <c r="D15" i="10"/>
  <c r="C16" i="10"/>
  <c r="C17" i="10"/>
  <c r="D16" i="10"/>
  <c r="D17" i="10"/>
  <c r="C18" i="10"/>
  <c r="C19" i="10"/>
  <c r="D18" i="10"/>
  <c r="D19" i="10"/>
  <c r="C21" i="10"/>
  <c r="C22" i="10"/>
  <c r="C23" i="10"/>
  <c r="C33" i="10" s="1"/>
  <c r="D21" i="10"/>
  <c r="D33" i="10" s="1"/>
  <c r="D22" i="10"/>
  <c r="D23" i="10"/>
  <c r="C24" i="10"/>
  <c r="C25" i="10"/>
  <c r="C26" i="10"/>
  <c r="D24" i="10"/>
  <c r="D25" i="10"/>
  <c r="D26" i="10"/>
  <c r="C27" i="10"/>
  <c r="C28" i="10"/>
  <c r="C29" i="10"/>
  <c r="D27" i="10"/>
  <c r="D28" i="10"/>
  <c r="D29" i="10"/>
  <c r="C30" i="10"/>
  <c r="C31" i="10"/>
  <c r="C32" i="10"/>
  <c r="D30" i="10"/>
  <c r="D31" i="10"/>
  <c r="D32" i="10"/>
  <c r="C34" i="10"/>
  <c r="D34" i="10"/>
  <c r="C35" i="10"/>
  <c r="D35" i="10"/>
  <c r="C36" i="10"/>
  <c r="D36" i="10"/>
  <c r="C37" i="10"/>
  <c r="D37" i="10"/>
  <c r="C38" i="10"/>
  <c r="D38" i="10"/>
  <c r="C39" i="10"/>
  <c r="D39" i="10"/>
  <c r="C40" i="10"/>
  <c r="D40" i="10"/>
  <c r="C41" i="10"/>
  <c r="D41" i="10"/>
  <c r="D43" i="10" s="1"/>
  <c r="C42" i="10"/>
  <c r="C43" i="10" s="1"/>
  <c r="D42" i="10"/>
  <c r="J3" i="8"/>
  <c r="K3" i="8"/>
  <c r="J4" i="8"/>
  <c r="K4" i="8"/>
  <c r="J5" i="8"/>
  <c r="K5" i="8"/>
  <c r="J6" i="8"/>
  <c r="K6" i="8"/>
  <c r="J7" i="8"/>
  <c r="K7" i="8"/>
  <c r="J8" i="8"/>
  <c r="K8" i="8"/>
  <c r="J9" i="8"/>
  <c r="K9" i="8"/>
  <c r="J10" i="8"/>
  <c r="K10" i="8"/>
  <c r="K2" i="8"/>
  <c r="J2" i="8"/>
  <c r="B3" i="8"/>
  <c r="C3" i="8"/>
  <c r="B4" i="8"/>
  <c r="C4" i="8"/>
  <c r="B5" i="8"/>
  <c r="C5" i="8"/>
  <c r="B6" i="8"/>
  <c r="C6" i="8"/>
  <c r="B7" i="8"/>
  <c r="C7" i="8"/>
  <c r="B8" i="8"/>
  <c r="C8" i="8"/>
  <c r="B9" i="8"/>
  <c r="C9" i="8"/>
  <c r="B10" i="8"/>
  <c r="C10" i="8"/>
  <c r="C2" i="8"/>
  <c r="B2" i="8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" i="5"/>
  <c r="G22" i="1"/>
  <c r="J16" i="1"/>
  <c r="H10" i="1"/>
  <c r="H21" i="1"/>
  <c r="H20" i="1"/>
  <c r="H19" i="1"/>
  <c r="H18" i="1"/>
  <c r="H17" i="1"/>
  <c r="H16" i="1"/>
  <c r="H15" i="1"/>
  <c r="H14" i="1"/>
  <c r="H13" i="1"/>
  <c r="H12" i="1"/>
  <c r="H11" i="1"/>
  <c r="H9" i="1"/>
  <c r="H8" i="1"/>
  <c r="H7" i="1"/>
  <c r="H6" i="1"/>
  <c r="H5" i="1"/>
  <c r="H4" i="1"/>
  <c r="H3" i="1"/>
  <c r="H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<sst xmlns="http://schemas.openxmlformats.org/spreadsheetml/2006/main" count="3284" uniqueCount="263">
  <si>
    <t>CustomerName</t>
  </si>
  <si>
    <t>Branch</t>
  </si>
  <si>
    <t>Country</t>
  </si>
  <si>
    <t>TransactionType</t>
  </si>
  <si>
    <t>Category</t>
  </si>
  <si>
    <t>Currency</t>
  </si>
  <si>
    <t>Amount</t>
  </si>
  <si>
    <t>AmountUSD</t>
  </si>
  <si>
    <t>Aisha Singh</t>
  </si>
  <si>
    <t>London</t>
  </si>
  <si>
    <t>UK</t>
  </si>
  <si>
    <t>Withdrawal</t>
  </si>
  <si>
    <t>Dining</t>
  </si>
  <si>
    <t>EUR</t>
  </si>
  <si>
    <t>David Mueller</t>
  </si>
  <si>
    <t>Tokyo</t>
  </si>
  <si>
    <t>Japan</t>
  </si>
  <si>
    <t>Fee</t>
  </si>
  <si>
    <t>Other</t>
  </si>
  <si>
    <t>USD</t>
  </si>
  <si>
    <t>Mohammed Sato</t>
  </si>
  <si>
    <t>Toronto</t>
  </si>
  <si>
    <t>Canada</t>
  </si>
  <si>
    <t>Richard Harris</t>
  </si>
  <si>
    <t>New York</t>
  </si>
  <si>
    <t>USA</t>
  </si>
  <si>
    <t>Entertainment</t>
  </si>
  <si>
    <t>Susan Miller</t>
  </si>
  <si>
    <t>Shopping</t>
  </si>
  <si>
    <t>Kenji Sato</t>
  </si>
  <si>
    <t>Sydney</t>
  </si>
  <si>
    <t>Australia</t>
  </si>
  <si>
    <t>Payment</t>
  </si>
  <si>
    <t>Education</t>
  </si>
  <si>
    <t>Joseph Wilson</t>
  </si>
  <si>
    <t>Singapore</t>
  </si>
  <si>
    <t>Deposit</t>
  </si>
  <si>
    <t>Salary</t>
  </si>
  <si>
    <t>CNY</t>
  </si>
  <si>
    <t>Charles Park</t>
  </si>
  <si>
    <t>Wei White</t>
  </si>
  <si>
    <t>Frankfurt</t>
  </si>
  <si>
    <t>Germany</t>
  </si>
  <si>
    <t>Insurance</t>
  </si>
  <si>
    <t>David Wilson</t>
  </si>
  <si>
    <t>Michael Lopez</t>
  </si>
  <si>
    <t>Deepa Mueller</t>
  </si>
  <si>
    <t>Li Brown</t>
  </si>
  <si>
    <t>Transfer</t>
  </si>
  <si>
    <t>Raj Liu</t>
  </si>
  <si>
    <t>Investment</t>
  </si>
  <si>
    <t>Priya Thomas</t>
  </si>
  <si>
    <t>Anil Gonzalez</t>
  </si>
  <si>
    <t>Loan</t>
  </si>
  <si>
    <t>Charles Rodriguez</t>
  </si>
  <si>
    <t>Dubai</t>
  </si>
  <si>
    <t>UAE</t>
  </si>
  <si>
    <t>Kenji Sharma</t>
  </si>
  <si>
    <t>Michael Jones</t>
  </si>
  <si>
    <t>Mumbai</t>
  </si>
  <si>
    <t>India</t>
  </si>
  <si>
    <t>Aisha Ahmed</t>
  </si>
  <si>
    <t>Hong Kong</t>
  </si>
  <si>
    <t>China</t>
  </si>
  <si>
    <t>GBP</t>
  </si>
  <si>
    <t>Li Martin</t>
  </si>
  <si>
    <t>TransactionDate</t>
  </si>
  <si>
    <t>2022-07-14</t>
  </si>
  <si>
    <t>2024-01-23</t>
  </si>
  <si>
    <t>2023-06-17</t>
  </si>
  <si>
    <t>2024-03-30</t>
  </si>
  <si>
    <t>2024-07-25</t>
  </si>
  <si>
    <t>2025-07-02</t>
  </si>
  <si>
    <t>2025-09-25</t>
  </si>
  <si>
    <t>2022-05-22</t>
  </si>
  <si>
    <t>2024-11-29</t>
  </si>
  <si>
    <t>2025-12-30</t>
  </si>
  <si>
    <t>2024-10-17</t>
  </si>
  <si>
    <t>2025-11-22</t>
  </si>
  <si>
    <t>2024-08-11</t>
  </si>
  <si>
    <t>2025-07-14</t>
  </si>
  <si>
    <t>2024-02-19</t>
  </si>
  <si>
    <t>2023-09-18</t>
  </si>
  <si>
    <t>2024-01-12</t>
  </si>
  <si>
    <t>2025-10-26</t>
  </si>
  <si>
    <t>2023-01-14</t>
  </si>
  <si>
    <t>number</t>
  </si>
  <si>
    <t>Book1</t>
  </si>
  <si>
    <t>Date</t>
  </si>
  <si>
    <t>2022-17-4</t>
  </si>
  <si>
    <t>2024-21-03</t>
  </si>
  <si>
    <t>07-25-2014</t>
  </si>
  <si>
    <t>country</t>
  </si>
  <si>
    <t>Rent</t>
  </si>
  <si>
    <t>Aisha Kumar</t>
  </si>
  <si>
    <t>Yuki Liu</t>
  </si>
  <si>
    <t>Linda Cohen</t>
  </si>
  <si>
    <t>Anil Sato</t>
  </si>
  <si>
    <t>Richard Singh</t>
  </si>
  <si>
    <t>Ivan Sato</t>
  </si>
  <si>
    <t>INR</t>
  </si>
  <si>
    <t>Yuki Rossi</t>
  </si>
  <si>
    <t>Fatima Thompson</t>
  </si>
  <si>
    <t>Healthcare</t>
  </si>
  <si>
    <t>Ana Martin</t>
  </si>
  <si>
    <t>Barbara Singh</t>
  </si>
  <si>
    <t>Joseph Anderson</t>
  </si>
  <si>
    <t>Omar White</t>
  </si>
  <si>
    <t>Utilities</t>
  </si>
  <si>
    <t>Hans Thomas</t>
  </si>
  <si>
    <t>Elizabeth Moore</t>
  </si>
  <si>
    <t>Marie Wang</t>
  </si>
  <si>
    <t>Mohammed Martin</t>
  </si>
  <si>
    <t>Raj Harris</t>
  </si>
  <si>
    <t>Groceries</t>
  </si>
  <si>
    <t>Chen Levi</t>
  </si>
  <si>
    <t>Zhang Taylor</t>
  </si>
  <si>
    <t>Linda Tran</t>
  </si>
  <si>
    <t>Transport</t>
  </si>
  <si>
    <t>Elizabeth Suzuki</t>
  </si>
  <si>
    <t>Deepa Brown</t>
  </si>
  <si>
    <t>Michael Thomas</t>
  </si>
  <si>
    <t>Michael Tanaka</t>
  </si>
  <si>
    <t>Marie Ali</t>
  </si>
  <si>
    <t>Li Gonzalez</t>
  </si>
  <si>
    <t>James Wilson</t>
  </si>
  <si>
    <t>Ji-ho Cohen</t>
  </si>
  <si>
    <t>Jessica Chen</t>
  </si>
  <si>
    <t>William Sato</t>
  </si>
  <si>
    <t>Robert Johnson</t>
  </si>
  <si>
    <t>Fatima Suzuki</t>
  </si>
  <si>
    <t>Zhang Moore</t>
  </si>
  <si>
    <t>James Singh</t>
  </si>
  <si>
    <t>Anil Khan</t>
  </si>
  <si>
    <t>William Tanaka</t>
  </si>
  <si>
    <t>Fatima Tanaka</t>
  </si>
  <si>
    <t>Deepa Rodriguez</t>
  </si>
  <si>
    <t>JPY</t>
  </si>
  <si>
    <t>Pierre Smith</t>
  </si>
  <si>
    <t>Deepa Patel</t>
  </si>
  <si>
    <t>Karen Liu</t>
  </si>
  <si>
    <t>Joseph Thompson</t>
  </si>
  <si>
    <t>Jennifer Smith</t>
  </si>
  <si>
    <t>Pierre Gonzalez</t>
  </si>
  <si>
    <t>Mary Williams</t>
  </si>
  <si>
    <t>Kenji Jones</t>
  </si>
  <si>
    <t>Priya Suzuki</t>
  </si>
  <si>
    <t>William Brown</t>
  </si>
  <si>
    <t>David Thomas</t>
  </si>
  <si>
    <t>Charles Sharma</t>
  </si>
  <si>
    <t>John Jones</t>
  </si>
  <si>
    <t>Pierre Levi</t>
  </si>
  <si>
    <t>Sakura Perez</t>
  </si>
  <si>
    <t>Sarah Gonzalez</t>
  </si>
  <si>
    <t>William Chen</t>
  </si>
  <si>
    <t>Sarah Jones</t>
  </si>
  <si>
    <t>Pierre Tanaka</t>
  </si>
  <si>
    <t>Wei Patel</t>
  </si>
  <si>
    <t>Refund</t>
  </si>
  <si>
    <t>Travel</t>
  </si>
  <si>
    <t>William Ahmed</t>
  </si>
  <si>
    <t>Susan Kim</t>
  </si>
  <si>
    <t>Jennifer Williams</t>
  </si>
  <si>
    <t>Olga Thompson</t>
  </si>
  <si>
    <t>Richard Chen</t>
  </si>
  <si>
    <t>John Sato</t>
  </si>
  <si>
    <t>Susan Sharma</t>
  </si>
  <si>
    <t>John White</t>
  </si>
  <si>
    <t>Mary Wang</t>
  </si>
  <si>
    <t>Karen Khan</t>
  </si>
  <si>
    <t>Olga Tran</t>
  </si>
  <si>
    <t>Susan Chen</t>
  </si>
  <si>
    <t>Jose Tran</t>
  </si>
  <si>
    <t>Fatima Sato</t>
  </si>
  <si>
    <t>Mary Tanaka</t>
  </si>
  <si>
    <t>Raj Dubois</t>
  </si>
  <si>
    <t>Chen Jones</t>
  </si>
  <si>
    <t>James Sharma</t>
  </si>
  <si>
    <t>Li Dubois</t>
  </si>
  <si>
    <t>David White</t>
  </si>
  <si>
    <t>James Kim</t>
  </si>
  <si>
    <t>Sofia Liu</t>
  </si>
  <si>
    <t>Ivan Wang</t>
  </si>
  <si>
    <t>Maria Rodriguez</t>
  </si>
  <si>
    <t>Mary Harris</t>
  </si>
  <si>
    <t>Anna White</t>
  </si>
  <si>
    <t>Sarah Tanaka</t>
  </si>
  <si>
    <t>Barbara Harris</t>
  </si>
  <si>
    <t>Patricia Kim</t>
  </si>
  <si>
    <t>Omar Brown</t>
  </si>
  <si>
    <t>Zhang Suzuki</t>
  </si>
  <si>
    <t>Omar Hassan</t>
  </si>
  <si>
    <t>Hiroshi Liu</t>
  </si>
  <si>
    <t>Kenji Wilson</t>
  </si>
  <si>
    <t>Carlos Miller</t>
  </si>
  <si>
    <t>Olga Singh</t>
  </si>
  <si>
    <t>Maria Schmidt</t>
  </si>
  <si>
    <t>Wei Martinez</t>
  </si>
  <si>
    <t>Luis Kim</t>
  </si>
  <si>
    <t>Ivan Jackson</t>
  </si>
  <si>
    <t>Jose Khan</t>
  </si>
  <si>
    <t>Li Kim</t>
  </si>
  <si>
    <t>Wei Kumar</t>
  </si>
  <si>
    <t>Luis Tran</t>
  </si>
  <si>
    <t>Hans Perez</t>
  </si>
  <si>
    <t>Chen Rodriguez</t>
  </si>
  <si>
    <t>Aisha Sato</t>
  </si>
  <si>
    <t>Thomas Suzuki</t>
  </si>
  <si>
    <t>Olga Chen</t>
  </si>
  <si>
    <t>Hans Tran</t>
  </si>
  <si>
    <t>John Park</t>
  </si>
  <si>
    <t>Omar Chen</t>
  </si>
  <si>
    <t>Sofia Williams</t>
  </si>
  <si>
    <t>Barbara Taylor</t>
  </si>
  <si>
    <t>Thomas Jackson</t>
  </si>
  <si>
    <t>Ivan Perez</t>
  </si>
  <si>
    <t>Yuki Singh</t>
  </si>
  <si>
    <t>Hiroshi Hernandez</t>
  </si>
  <si>
    <t>Barbara Nguyen</t>
  </si>
  <si>
    <t>Mohammed Martinez</t>
  </si>
  <si>
    <t>Sofia Sharma</t>
  </si>
  <si>
    <t>Fatima Taylor</t>
  </si>
  <si>
    <t>Robert Rossi</t>
  </si>
  <si>
    <t>Sofia Tran</t>
  </si>
  <si>
    <t>David Schmidt</t>
  </si>
  <si>
    <t>Marie Perez</t>
  </si>
  <si>
    <t>Robert Ali</t>
  </si>
  <si>
    <t>Wei Rodriguez</t>
  </si>
  <si>
    <t>Carlos Martin</t>
  </si>
  <si>
    <t>Hiroshi Dubois</t>
  </si>
  <si>
    <t>Barbara Davis</t>
  </si>
  <si>
    <t>Elizabeth Miller</t>
  </si>
  <si>
    <t>Linda Jones</t>
  </si>
  <si>
    <t>Robert Miller</t>
  </si>
  <si>
    <t>Luis Anderson</t>
  </si>
  <si>
    <t>Joseph Williams</t>
  </si>
  <si>
    <t>Zhang Lee</t>
  </si>
  <si>
    <t>Carlos Lopez</t>
  </si>
  <si>
    <t>Marie Sato</t>
  </si>
  <si>
    <t>Yuki Suzuki</t>
  </si>
  <si>
    <t>Olga Jones</t>
  </si>
  <si>
    <t>Jose Miller</t>
  </si>
  <si>
    <t>Aisha Tran</t>
  </si>
  <si>
    <t>Sofia Suzuki</t>
  </si>
  <si>
    <t>Luis Schmidt</t>
  </si>
  <si>
    <t>Ana Schmidt</t>
  </si>
  <si>
    <t>Ji-ho Mueller</t>
  </si>
  <si>
    <t>Sarah Moore</t>
  </si>
  <si>
    <t>Yuki Levi</t>
  </si>
  <si>
    <t>Sarah Hernandez</t>
  </si>
  <si>
    <t>Yuki Choi</t>
  </si>
  <si>
    <t>Wei Sharma</t>
  </si>
  <si>
    <t>Carlos Levi</t>
  </si>
  <si>
    <t>Ana Smith</t>
  </si>
  <si>
    <t>Aisha Chen</t>
  </si>
  <si>
    <t>Charles Kim</t>
  </si>
  <si>
    <t>Li Choi</t>
  </si>
  <si>
    <t>Ivan Ali</t>
  </si>
  <si>
    <t>Priya Rossi</t>
  </si>
  <si>
    <t>Ji-ho Patel</t>
  </si>
  <si>
    <t>David Tran</t>
  </si>
  <si>
    <t>Joseph Cohen</t>
  </si>
  <si>
    <t>Pierre 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</si>
</sst>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7" formatCode="#.00,,\ &quot;M&quot;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FF"/>
      <name val="Calibri"/>
    </font>
    <font>
      <sz val="11"/>
      <name val="Aptos Narrow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4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0" fontId="4" fillId="0" borderId="0" xfId="1" applyAlignment="1">
      <alignment vertical="top"/>
    </xf>
    <xf numFmtId="14" fontId="0" fillId="0" borderId="0" xfId="0" applyNumberFormat="1"/>
    <xf numFmtId="0" fontId="0" fillId="0" borderId="0" xfId="0" applyNumberFormat="1"/>
    <xf numFmtId="15" fontId="0" fillId="0" borderId="0" xfId="0" applyNumberFormat="1"/>
    <xf numFmtId="20" fontId="0" fillId="0" borderId="0" xfId="0" applyNumberFormat="1"/>
    <xf numFmtId="4" fontId="0" fillId="0" borderId="0" xfId="0" applyNumberFormat="1"/>
    <xf numFmtId="0" fontId="1" fillId="0" borderId="0" xfId="0" applyFont="1"/>
    <xf numFmtId="0" fontId="0" fillId="3" borderId="0" xfId="0" applyFill="1"/>
    <xf numFmtId="167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0" fontId="0" fillId="0" borderId="0" xfId="0" applyFont="1"/>
    <xf numFmtId="1" fontId="0" fillId="0" borderId="0" xfId="0" applyNumberFormat="1" applyFont="1"/>
    <xf numFmtId="15" fontId="1" fillId="0" borderId="0" xfId="0" applyNumberFormat="1" applyFont="1"/>
  </cellXfs>
  <cellStyles count="2">
    <cellStyle name="Hyperlink" xfId="1" builtinId="8"/>
    <cellStyle name="Normal" xfId="0" builtinId="0"/>
  </cellStyles>
  <dxfs count="5">
    <dxf>
      <font>
        <color rgb="FFFF0000"/>
      </font>
      <fill>
        <patternFill>
          <bgColor theme="1"/>
        </patternFill>
      </fill>
    </dxf>
    <dxf>
      <font>
        <b/>
        <i val="0"/>
        <color theme="9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/>
      </font>
    </dxf>
    <dxf>
      <font>
        <b/>
        <i val="0"/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../Documents/new_doc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5F99-3B21-4EA6-A4E6-344B035D1BE2}">
  <dimension ref="A1:O23"/>
  <sheetViews>
    <sheetView zoomScale="110" zoomScaleNormal="110" workbookViewId="0">
      <selection sqref="A1:H21"/>
    </sheetView>
  </sheetViews>
  <sheetFormatPr defaultRowHeight="15.6" x14ac:dyDescent="0.3"/>
  <cols>
    <col min="1" max="1" width="15.5" bestFit="1" customWidth="1"/>
    <col min="2" max="2" width="9.3984375" bestFit="1" customWidth="1"/>
    <col min="4" max="4" width="14.09765625" bestFit="1" customWidth="1"/>
    <col min="5" max="5" width="12.296875" bestFit="1" customWidth="1"/>
    <col min="6" max="6" width="8.19921875" bestFit="1" customWidth="1"/>
    <col min="7" max="7" width="8.8984375" bestFit="1" customWidth="1"/>
    <col min="8" max="8" width="10.69921875" bestFit="1" customWidth="1"/>
    <col min="14" max="15" width="11.8984375" bestFit="1" customWidth="1"/>
  </cols>
  <sheetData>
    <row r="1" spans="1:15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M1" t="s">
        <v>86</v>
      </c>
    </row>
    <row r="2" spans="1:15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6">
        <v>955.8</v>
      </c>
      <c r="H2" s="17">
        <v>1032.2640000000001</v>
      </c>
      <c r="M2">
        <v>955.8</v>
      </c>
      <c r="N2">
        <f>4867*M2</f>
        <v>4651878.5999999996</v>
      </c>
      <c r="O2" s="13">
        <v>4651878.5999999996</v>
      </c>
    </row>
    <row r="3" spans="1:15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16">
        <v>12.41</v>
      </c>
      <c r="H3" s="17">
        <v>12.41</v>
      </c>
      <c r="M3">
        <v>12.41</v>
      </c>
      <c r="N3">
        <f t="shared" ref="N3:N21" si="0">4867*M3</f>
        <v>60399.47</v>
      </c>
      <c r="O3" s="13">
        <v>60399.47</v>
      </c>
    </row>
    <row r="4" spans="1:15" x14ac:dyDescent="0.3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19</v>
      </c>
      <c r="G4" s="16">
        <v>1842.59</v>
      </c>
      <c r="H4" s="17">
        <v>1842.59</v>
      </c>
      <c r="M4">
        <v>1842.59</v>
      </c>
      <c r="N4">
        <f t="shared" si="0"/>
        <v>8967885.5299999993</v>
      </c>
      <c r="O4" s="13">
        <v>8967885.5299999993</v>
      </c>
    </row>
    <row r="5" spans="1:15" x14ac:dyDescent="0.3">
      <c r="A5" t="s">
        <v>23</v>
      </c>
      <c r="B5" t="s">
        <v>24</v>
      </c>
      <c r="C5" t="s">
        <v>25</v>
      </c>
      <c r="D5" t="s">
        <v>11</v>
      </c>
      <c r="E5" t="s">
        <v>26</v>
      </c>
      <c r="F5" t="s">
        <v>13</v>
      </c>
      <c r="G5" s="16">
        <v>522.01</v>
      </c>
      <c r="H5" s="17">
        <v>563.77080000000001</v>
      </c>
      <c r="M5">
        <v>522.01</v>
      </c>
      <c r="N5">
        <f t="shared" si="0"/>
        <v>2540622.67</v>
      </c>
      <c r="O5" s="13">
        <v>2540622.67</v>
      </c>
    </row>
    <row r="6" spans="1:15" x14ac:dyDescent="0.3">
      <c r="A6" t="s">
        <v>27</v>
      </c>
      <c r="B6" t="s">
        <v>24</v>
      </c>
      <c r="C6" t="s">
        <v>25</v>
      </c>
      <c r="D6" t="s">
        <v>11</v>
      </c>
      <c r="E6" t="s">
        <v>28</v>
      </c>
      <c r="F6" t="s">
        <v>19</v>
      </c>
      <c r="G6" s="16">
        <v>874.91</v>
      </c>
      <c r="H6" s="17">
        <v>874.91</v>
      </c>
      <c r="M6">
        <v>874.91</v>
      </c>
      <c r="N6">
        <f t="shared" si="0"/>
        <v>4258186.97</v>
      </c>
      <c r="O6" s="13">
        <v>4258186.97</v>
      </c>
    </row>
    <row r="7" spans="1:15" x14ac:dyDescent="0.3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19</v>
      </c>
      <c r="G7" s="16">
        <v>4131.9399999999996</v>
      </c>
      <c r="H7" s="17">
        <v>4131.9399999999996</v>
      </c>
      <c r="M7">
        <v>4131.9399999999996</v>
      </c>
      <c r="N7">
        <f t="shared" si="0"/>
        <v>20110151.979999997</v>
      </c>
      <c r="O7" s="13">
        <v>20110151.979999997</v>
      </c>
    </row>
    <row r="8" spans="1:15" x14ac:dyDescent="0.3">
      <c r="A8" t="s">
        <v>34</v>
      </c>
      <c r="B8" t="s">
        <v>35</v>
      </c>
      <c r="C8" t="s">
        <v>35</v>
      </c>
      <c r="D8" t="s">
        <v>36</v>
      </c>
      <c r="E8" t="s">
        <v>37</v>
      </c>
      <c r="F8" t="s">
        <v>38</v>
      </c>
      <c r="G8" s="16">
        <v>10999.85</v>
      </c>
      <c r="H8" s="17">
        <v>1539.9790000000003</v>
      </c>
      <c r="M8">
        <v>10999.85</v>
      </c>
      <c r="N8">
        <f t="shared" si="0"/>
        <v>53536269.950000003</v>
      </c>
      <c r="O8" s="13">
        <v>53536269.950000003</v>
      </c>
    </row>
    <row r="9" spans="1:15" x14ac:dyDescent="0.3">
      <c r="A9" t="s">
        <v>39</v>
      </c>
      <c r="B9" t="s">
        <v>24</v>
      </c>
      <c r="C9" t="s">
        <v>25</v>
      </c>
      <c r="D9" t="s">
        <v>36</v>
      </c>
      <c r="E9" t="s">
        <v>37</v>
      </c>
      <c r="F9" t="s">
        <v>38</v>
      </c>
      <c r="G9" s="16">
        <v>4276.34</v>
      </c>
      <c r="H9" s="17">
        <v>598.68760000000009</v>
      </c>
      <c r="M9">
        <v>4276.34</v>
      </c>
      <c r="N9">
        <f t="shared" si="0"/>
        <v>20812946.780000001</v>
      </c>
      <c r="O9" s="13">
        <v>20812946.780000001</v>
      </c>
    </row>
    <row r="10" spans="1:15" x14ac:dyDescent="0.3">
      <c r="A10" t="s">
        <v>44</v>
      </c>
      <c r="B10" t="s">
        <v>21</v>
      </c>
      <c r="C10" t="s">
        <v>22</v>
      </c>
      <c r="D10" t="s">
        <v>32</v>
      </c>
      <c r="E10" t="s">
        <v>28</v>
      </c>
      <c r="F10" t="s">
        <v>19</v>
      </c>
      <c r="G10" s="16">
        <v>836</v>
      </c>
      <c r="H10" s="17">
        <v>836</v>
      </c>
      <c r="M10">
        <v>836</v>
      </c>
      <c r="N10">
        <f t="shared" si="0"/>
        <v>4068812</v>
      </c>
      <c r="O10" s="13">
        <v>4068812</v>
      </c>
    </row>
    <row r="11" spans="1:15" x14ac:dyDescent="0.3">
      <c r="A11" t="s">
        <v>45</v>
      </c>
      <c r="B11" t="s">
        <v>21</v>
      </c>
      <c r="C11" t="s">
        <v>22</v>
      </c>
      <c r="D11" t="s">
        <v>17</v>
      </c>
      <c r="E11" t="s">
        <v>18</v>
      </c>
      <c r="F11" t="s">
        <v>19</v>
      </c>
      <c r="G11" s="16">
        <v>24.12</v>
      </c>
      <c r="H11" s="17">
        <v>24.12</v>
      </c>
      <c r="M11">
        <v>24.12</v>
      </c>
      <c r="N11">
        <f t="shared" si="0"/>
        <v>117392.04000000001</v>
      </c>
      <c r="O11" s="13">
        <v>117392.04000000001</v>
      </c>
    </row>
    <row r="12" spans="1:15" x14ac:dyDescent="0.3">
      <c r="A12" t="s">
        <v>46</v>
      </c>
      <c r="B12" t="s">
        <v>35</v>
      </c>
      <c r="C12" t="s">
        <v>35</v>
      </c>
      <c r="D12" t="s">
        <v>11</v>
      </c>
      <c r="E12" t="s">
        <v>12</v>
      </c>
      <c r="F12" t="s">
        <v>19</v>
      </c>
      <c r="G12" s="16">
        <v>1514.19</v>
      </c>
      <c r="H12" s="17">
        <v>1514.19</v>
      </c>
      <c r="M12">
        <v>1514.19</v>
      </c>
      <c r="N12">
        <f t="shared" si="0"/>
        <v>7369562.7300000004</v>
      </c>
      <c r="O12" s="13">
        <v>7369562.7300000004</v>
      </c>
    </row>
    <row r="13" spans="1:15" x14ac:dyDescent="0.3">
      <c r="A13" t="s">
        <v>47</v>
      </c>
      <c r="B13" t="s">
        <v>41</v>
      </c>
      <c r="C13" t="s">
        <v>42</v>
      </c>
      <c r="D13" t="s">
        <v>48</v>
      </c>
      <c r="E13" t="s">
        <v>18</v>
      </c>
      <c r="F13" t="s">
        <v>19</v>
      </c>
      <c r="G13" s="16">
        <v>1113.46</v>
      </c>
      <c r="H13" s="17">
        <v>1113.46</v>
      </c>
      <c r="M13">
        <v>1113.46</v>
      </c>
      <c r="N13">
        <f t="shared" si="0"/>
        <v>5419209.8200000003</v>
      </c>
      <c r="O13" s="13">
        <v>5419209.8200000003</v>
      </c>
    </row>
    <row r="14" spans="1:15" x14ac:dyDescent="0.3">
      <c r="A14" t="s">
        <v>49</v>
      </c>
      <c r="B14" t="s">
        <v>30</v>
      </c>
      <c r="C14" t="s">
        <v>31</v>
      </c>
      <c r="D14" t="s">
        <v>36</v>
      </c>
      <c r="E14" t="s">
        <v>50</v>
      </c>
      <c r="F14" t="s">
        <v>38</v>
      </c>
      <c r="G14" s="16">
        <v>6320.1</v>
      </c>
      <c r="H14" s="17">
        <v>884.81400000000019</v>
      </c>
      <c r="M14">
        <v>6320.1</v>
      </c>
      <c r="N14">
        <f t="shared" si="0"/>
        <v>30759926.700000003</v>
      </c>
      <c r="O14" s="13">
        <v>30759926.700000003</v>
      </c>
    </row>
    <row r="15" spans="1:15" x14ac:dyDescent="0.3">
      <c r="A15" t="s">
        <v>51</v>
      </c>
      <c r="B15" t="s">
        <v>41</v>
      </c>
      <c r="C15" t="s">
        <v>42</v>
      </c>
      <c r="D15" t="s">
        <v>48</v>
      </c>
      <c r="E15" t="s">
        <v>18</v>
      </c>
      <c r="F15" t="s">
        <v>19</v>
      </c>
      <c r="G15" s="16">
        <v>1597.27</v>
      </c>
      <c r="H15" s="17">
        <v>1597.27</v>
      </c>
      <c r="M15">
        <v>1597.27</v>
      </c>
      <c r="N15">
        <f t="shared" si="0"/>
        <v>7773913.0899999999</v>
      </c>
      <c r="O15" s="13">
        <v>7773913.0899999999</v>
      </c>
    </row>
    <row r="16" spans="1:15" x14ac:dyDescent="0.3">
      <c r="A16" t="s">
        <v>52</v>
      </c>
      <c r="B16" t="s">
        <v>9</v>
      </c>
      <c r="C16" t="s">
        <v>10</v>
      </c>
      <c r="D16" t="s">
        <v>53</v>
      </c>
      <c r="E16" t="s">
        <v>18</v>
      </c>
      <c r="F16" t="s">
        <v>19</v>
      </c>
      <c r="G16" s="16">
        <v>80002.33</v>
      </c>
      <c r="H16" s="17">
        <v>80002.33</v>
      </c>
      <c r="M16">
        <v>80002.33</v>
      </c>
      <c r="N16">
        <f t="shared" si="0"/>
        <v>389371340.11000001</v>
      </c>
      <c r="O16" s="13">
        <v>389371340.11000001</v>
      </c>
    </row>
    <row r="17" spans="1:15" x14ac:dyDescent="0.3">
      <c r="A17" t="s">
        <v>54</v>
      </c>
      <c r="B17" t="s">
        <v>55</v>
      </c>
      <c r="C17" t="s">
        <v>56</v>
      </c>
      <c r="D17" t="s">
        <v>32</v>
      </c>
      <c r="E17" t="s">
        <v>18</v>
      </c>
      <c r="F17" t="s">
        <v>19</v>
      </c>
      <c r="G17" s="16">
        <v>911.22</v>
      </c>
      <c r="H17" s="17">
        <v>911.22</v>
      </c>
      <c r="M17">
        <v>911.22</v>
      </c>
      <c r="N17">
        <f t="shared" si="0"/>
        <v>4434907.74</v>
      </c>
      <c r="O17" s="13">
        <v>4434907.74</v>
      </c>
    </row>
    <row r="18" spans="1:15" x14ac:dyDescent="0.3">
      <c r="A18" t="s">
        <v>57</v>
      </c>
      <c r="B18" t="s">
        <v>35</v>
      </c>
      <c r="C18" t="s">
        <v>35</v>
      </c>
      <c r="D18" t="s">
        <v>48</v>
      </c>
      <c r="E18" t="s">
        <v>18</v>
      </c>
      <c r="F18" t="s">
        <v>19</v>
      </c>
      <c r="G18" s="16">
        <v>2581.61</v>
      </c>
      <c r="H18" s="17">
        <v>2581.61</v>
      </c>
      <c r="M18">
        <v>2581.61</v>
      </c>
      <c r="N18">
        <f t="shared" si="0"/>
        <v>12564695.870000001</v>
      </c>
      <c r="O18" s="13">
        <v>12564695.870000001</v>
      </c>
    </row>
    <row r="19" spans="1:15" x14ac:dyDescent="0.3">
      <c r="A19" t="s">
        <v>58</v>
      </c>
      <c r="B19" t="s">
        <v>59</v>
      </c>
      <c r="C19" t="s">
        <v>60</v>
      </c>
      <c r="D19" t="s">
        <v>32</v>
      </c>
      <c r="E19" t="s">
        <v>18</v>
      </c>
      <c r="F19" t="s">
        <v>19</v>
      </c>
      <c r="G19" s="16">
        <v>3732.24</v>
      </c>
      <c r="H19" s="17">
        <v>3732.24</v>
      </c>
      <c r="M19">
        <v>3732.24</v>
      </c>
      <c r="N19">
        <f t="shared" si="0"/>
        <v>18164812.079999998</v>
      </c>
      <c r="O19" s="13">
        <v>18164812.079999998</v>
      </c>
    </row>
    <row r="20" spans="1:15" x14ac:dyDescent="0.3">
      <c r="A20" t="s">
        <v>61</v>
      </c>
      <c r="B20" t="s">
        <v>62</v>
      </c>
      <c r="C20" t="s">
        <v>63</v>
      </c>
      <c r="D20" t="s">
        <v>11</v>
      </c>
      <c r="E20" t="s">
        <v>26</v>
      </c>
      <c r="F20" t="s">
        <v>64</v>
      </c>
      <c r="G20" s="16">
        <v>385.87</v>
      </c>
      <c r="H20" s="17">
        <v>490.05490000000003</v>
      </c>
      <c r="M20">
        <v>385.87</v>
      </c>
      <c r="N20">
        <f t="shared" si="0"/>
        <v>1878029.29</v>
      </c>
      <c r="O20" s="13">
        <v>1878029.29</v>
      </c>
    </row>
    <row r="21" spans="1:15" x14ac:dyDescent="0.3">
      <c r="A21" t="s">
        <v>65</v>
      </c>
      <c r="B21" t="s">
        <v>62</v>
      </c>
      <c r="C21" t="s">
        <v>63</v>
      </c>
      <c r="D21" t="s">
        <v>36</v>
      </c>
      <c r="E21" t="s">
        <v>37</v>
      </c>
      <c r="F21" t="s">
        <v>19</v>
      </c>
      <c r="G21" s="16">
        <v>3931.9</v>
      </c>
      <c r="H21" s="17">
        <v>3931.9</v>
      </c>
      <c r="M21">
        <v>3931.9</v>
      </c>
      <c r="N21">
        <f t="shared" si="0"/>
        <v>19136557.300000001</v>
      </c>
      <c r="O21" s="13">
        <v>19136557.300000001</v>
      </c>
    </row>
    <row r="22" spans="1:15" x14ac:dyDescent="0.3">
      <c r="H22" s="17">
        <v>1100</v>
      </c>
    </row>
    <row r="23" spans="1:15" x14ac:dyDescent="0.3">
      <c r="H23" s="17">
        <v>600</v>
      </c>
    </row>
  </sheetData>
  <conditionalFormatting sqref="H2:H24">
    <cfRule type="cellIs" dxfId="1" priority="2" operator="greaterThan">
      <formula>1000</formula>
    </cfRule>
  </conditionalFormatting>
  <conditionalFormatting sqref="H2:H26">
    <cfRule type="cellIs" dxfId="0" priority="1" operator="lessThan">
      <formula>500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36F9-F570-4763-B91D-34F0D365C709}">
  <dimension ref="A1:L22"/>
  <sheetViews>
    <sheetView zoomScale="115" zoomScaleNormal="115" workbookViewId="0">
      <selection activeCell="I2" sqref="I2:I11"/>
    </sheetView>
  </sheetViews>
  <sheetFormatPr defaultRowHeight="15.6" x14ac:dyDescent="0.3"/>
  <cols>
    <col min="1" max="1" width="15.5" bestFit="1" customWidth="1"/>
    <col min="2" max="2" width="9.3984375" bestFit="1" customWidth="1"/>
    <col min="4" max="4" width="13.5" bestFit="1" customWidth="1"/>
    <col min="5" max="5" width="12.296875" bestFit="1" customWidth="1"/>
    <col min="6" max="6" width="7.69921875" bestFit="1" customWidth="1"/>
    <col min="7" max="7" width="10.69921875" bestFit="1" customWidth="1"/>
    <col min="8" max="8" width="10.296875" bestFit="1" customWidth="1"/>
    <col min="9" max="9" width="13.296875" bestFit="1" customWidth="1"/>
    <col min="10" max="10" width="10.3984375" bestFit="1" customWidth="1"/>
    <col min="12" max="12" width="10.398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66</v>
      </c>
    </row>
    <row r="2" spans="1:1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955.8</v>
      </c>
      <c r="H2" s="3">
        <f t="shared" ref="H2:H21" si="0">G2*VLOOKUP(F2,{"USD",1;"EUR",1.08;"GBP",1.27;"JPY",0.0067;"CNY",0.14;"INR",0.012},2,FALSE)</f>
        <v>1032.2640000000001</v>
      </c>
      <c r="I2" s="4">
        <v>44774</v>
      </c>
      <c r="J2" s="8">
        <v>44774</v>
      </c>
    </row>
    <row r="3" spans="1:12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>
        <v>12.41</v>
      </c>
      <c r="H3" s="3">
        <f t="shared" si="0"/>
        <v>12.41</v>
      </c>
      <c r="I3" s="4" t="s">
        <v>67</v>
      </c>
      <c r="J3" s="8">
        <v>44774</v>
      </c>
    </row>
    <row r="4" spans="1:12" x14ac:dyDescent="0.3">
      <c r="A4" s="2" t="s">
        <v>20</v>
      </c>
      <c r="B4" s="2" t="s">
        <v>21</v>
      </c>
      <c r="C4" s="2" t="s">
        <v>22</v>
      </c>
      <c r="D4" s="2" t="s">
        <v>11</v>
      </c>
      <c r="E4" s="2" t="s">
        <v>12</v>
      </c>
      <c r="F4" s="2" t="s">
        <v>19</v>
      </c>
      <c r="G4" s="3">
        <v>1842.59</v>
      </c>
      <c r="H4" s="3">
        <f t="shared" si="0"/>
        <v>1842.59</v>
      </c>
      <c r="I4" s="4" t="s">
        <v>68</v>
      </c>
      <c r="J4" s="8">
        <v>44774</v>
      </c>
    </row>
    <row r="5" spans="1:12" x14ac:dyDescent="0.3">
      <c r="A5" s="2" t="s">
        <v>23</v>
      </c>
      <c r="B5" s="2" t="s">
        <v>24</v>
      </c>
      <c r="C5" s="2" t="s">
        <v>25</v>
      </c>
      <c r="D5" s="2" t="s">
        <v>11</v>
      </c>
      <c r="E5" s="2" t="s">
        <v>26</v>
      </c>
      <c r="F5" s="2" t="s">
        <v>13</v>
      </c>
      <c r="G5" s="3">
        <v>522.01</v>
      </c>
      <c r="H5" s="3">
        <f t="shared" si="0"/>
        <v>563.77080000000001</v>
      </c>
      <c r="I5" s="4" t="s">
        <v>69</v>
      </c>
      <c r="J5" s="8">
        <v>44774</v>
      </c>
    </row>
    <row r="6" spans="1:12" x14ac:dyDescent="0.3">
      <c r="A6" s="2" t="s">
        <v>27</v>
      </c>
      <c r="B6" s="2" t="s">
        <v>24</v>
      </c>
      <c r="C6" s="2" t="s">
        <v>25</v>
      </c>
      <c r="D6" s="2" t="s">
        <v>11</v>
      </c>
      <c r="E6" s="2" t="s">
        <v>28</v>
      </c>
      <c r="F6" s="2" t="s">
        <v>19</v>
      </c>
      <c r="G6" s="3">
        <v>874.91</v>
      </c>
      <c r="H6" s="3">
        <f t="shared" si="0"/>
        <v>874.91</v>
      </c>
      <c r="I6" s="4" t="s">
        <v>70</v>
      </c>
      <c r="J6" s="8">
        <v>44774</v>
      </c>
    </row>
    <row r="7" spans="1:12" x14ac:dyDescent="0.3">
      <c r="A7" s="2" t="s">
        <v>29</v>
      </c>
      <c r="B7" s="2" t="s">
        <v>30</v>
      </c>
      <c r="C7" s="2" t="s">
        <v>31</v>
      </c>
      <c r="D7" s="5" t="s">
        <v>32</v>
      </c>
      <c r="E7" s="2" t="s">
        <v>33</v>
      </c>
      <c r="F7" s="2" t="s">
        <v>19</v>
      </c>
      <c r="G7" s="3">
        <v>4131.9399999999996</v>
      </c>
      <c r="H7" s="3">
        <f t="shared" si="0"/>
        <v>4131.9399999999996</v>
      </c>
      <c r="I7" s="4" t="s">
        <v>71</v>
      </c>
      <c r="J7" s="8">
        <v>44774</v>
      </c>
    </row>
    <row r="8" spans="1:12" x14ac:dyDescent="0.3">
      <c r="A8" s="2" t="s">
        <v>34</v>
      </c>
      <c r="B8" s="2" t="s">
        <v>35</v>
      </c>
      <c r="C8" s="2" t="s">
        <v>35</v>
      </c>
      <c r="D8" s="2" t="s">
        <v>36</v>
      </c>
      <c r="E8" s="2" t="s">
        <v>37</v>
      </c>
      <c r="F8" s="2" t="s">
        <v>38</v>
      </c>
      <c r="G8" s="3">
        <v>10999.85</v>
      </c>
      <c r="H8" s="3">
        <f t="shared" si="0"/>
        <v>1539.9790000000003</v>
      </c>
      <c r="I8" s="4" t="s">
        <v>72</v>
      </c>
      <c r="J8" s="8">
        <v>44774</v>
      </c>
      <c r="L8" s="6">
        <v>46189</v>
      </c>
    </row>
    <row r="9" spans="1:12" x14ac:dyDescent="0.3">
      <c r="A9" s="2" t="s">
        <v>39</v>
      </c>
      <c r="B9" s="2" t="s">
        <v>24</v>
      </c>
      <c r="C9" s="2" t="s">
        <v>25</v>
      </c>
      <c r="D9" s="2" t="s">
        <v>36</v>
      </c>
      <c r="E9" s="2" t="s">
        <v>37</v>
      </c>
      <c r="F9" s="2" t="s">
        <v>38</v>
      </c>
      <c r="G9" s="3">
        <v>4276.34</v>
      </c>
      <c r="H9" s="3">
        <f t="shared" si="0"/>
        <v>598.68760000000009</v>
      </c>
      <c r="I9" s="4" t="s">
        <v>73</v>
      </c>
      <c r="J9" s="8">
        <v>44774</v>
      </c>
    </row>
    <row r="10" spans="1:12" x14ac:dyDescent="0.3">
      <c r="A10" s="2" t="s">
        <v>44</v>
      </c>
      <c r="B10" s="2" t="s">
        <v>21</v>
      </c>
      <c r="C10" s="2" t="s">
        <v>22</v>
      </c>
      <c r="D10" s="2" t="s">
        <v>32</v>
      </c>
      <c r="E10" s="2" t="s">
        <v>28</v>
      </c>
      <c r="F10" s="2" t="s">
        <v>19</v>
      </c>
      <c r="G10" s="3">
        <v>836</v>
      </c>
      <c r="H10" s="3">
        <f t="shared" si="0"/>
        <v>836</v>
      </c>
      <c r="I10" s="4" t="s">
        <v>74</v>
      </c>
      <c r="J10" s="8">
        <v>44774</v>
      </c>
      <c r="L10" s="9">
        <v>0.40833333333333338</v>
      </c>
    </row>
    <row r="11" spans="1:12" x14ac:dyDescent="0.3">
      <c r="A11" s="2" t="s">
        <v>45</v>
      </c>
      <c r="B11" s="2" t="s">
        <v>21</v>
      </c>
      <c r="C11" s="2" t="s">
        <v>22</v>
      </c>
      <c r="D11" s="2" t="s">
        <v>17</v>
      </c>
      <c r="E11" s="2" t="s">
        <v>18</v>
      </c>
      <c r="F11" s="2" t="s">
        <v>19</v>
      </c>
      <c r="G11" s="3">
        <v>24.12</v>
      </c>
      <c r="H11" s="3">
        <f t="shared" si="0"/>
        <v>24.12</v>
      </c>
      <c r="I11" s="4" t="s">
        <v>75</v>
      </c>
      <c r="J11" s="8">
        <v>44774</v>
      </c>
    </row>
    <row r="12" spans="1:12" x14ac:dyDescent="0.3">
      <c r="A12" s="2" t="s">
        <v>46</v>
      </c>
      <c r="B12" s="2" t="s">
        <v>35</v>
      </c>
      <c r="C12" s="2" t="s">
        <v>35</v>
      </c>
      <c r="D12" s="5" t="s">
        <v>11</v>
      </c>
      <c r="E12" s="2" t="s">
        <v>12</v>
      </c>
      <c r="F12" s="2" t="s">
        <v>19</v>
      </c>
      <c r="G12" s="3">
        <v>1514.19</v>
      </c>
      <c r="H12" s="3">
        <f t="shared" si="0"/>
        <v>1514.19</v>
      </c>
      <c r="I12" s="4" t="s">
        <v>76</v>
      </c>
      <c r="J12" s="8">
        <v>44774</v>
      </c>
    </row>
    <row r="13" spans="1:12" x14ac:dyDescent="0.3">
      <c r="A13" s="2" t="s">
        <v>47</v>
      </c>
      <c r="B13" s="2" t="s">
        <v>41</v>
      </c>
      <c r="C13" s="2" t="s">
        <v>42</v>
      </c>
      <c r="D13" s="2" t="s">
        <v>48</v>
      </c>
      <c r="E13" s="2" t="s">
        <v>18</v>
      </c>
      <c r="F13" s="2" t="s">
        <v>19</v>
      </c>
      <c r="G13" s="3">
        <v>1113.46</v>
      </c>
      <c r="H13" s="3">
        <f t="shared" si="0"/>
        <v>1113.46</v>
      </c>
      <c r="I13" s="4" t="s">
        <v>77</v>
      </c>
      <c r="J13" s="8">
        <v>44774</v>
      </c>
    </row>
    <row r="14" spans="1:12" x14ac:dyDescent="0.3">
      <c r="A14" s="2" t="s">
        <v>49</v>
      </c>
      <c r="B14" s="2" t="s">
        <v>30</v>
      </c>
      <c r="C14" s="2" t="s">
        <v>31</v>
      </c>
      <c r="D14" s="2" t="s">
        <v>36</v>
      </c>
      <c r="E14" s="2" t="s">
        <v>50</v>
      </c>
      <c r="F14" s="2" t="s">
        <v>38</v>
      </c>
      <c r="G14" s="3">
        <v>6320.1</v>
      </c>
      <c r="H14" s="3">
        <f t="shared" si="0"/>
        <v>884.81400000000019</v>
      </c>
      <c r="I14" s="4" t="s">
        <v>78</v>
      </c>
      <c r="J14" s="8">
        <v>44774</v>
      </c>
    </row>
    <row r="15" spans="1:12" x14ac:dyDescent="0.3">
      <c r="A15" s="2" t="s">
        <v>51</v>
      </c>
      <c r="B15" s="2" t="s">
        <v>41</v>
      </c>
      <c r="C15" s="2" t="s">
        <v>42</v>
      </c>
      <c r="D15" s="2" t="s">
        <v>48</v>
      </c>
      <c r="E15" s="2" t="s">
        <v>18</v>
      </c>
      <c r="F15" s="2" t="s">
        <v>19</v>
      </c>
      <c r="G15" s="3">
        <v>1597.27</v>
      </c>
      <c r="H15" s="3">
        <f t="shared" si="0"/>
        <v>1597.27</v>
      </c>
      <c r="I15" s="4" t="s">
        <v>79</v>
      </c>
    </row>
    <row r="16" spans="1:12" x14ac:dyDescent="0.3">
      <c r="A16" s="2" t="s">
        <v>52</v>
      </c>
      <c r="B16" s="2" t="s">
        <v>9</v>
      </c>
      <c r="C16" s="2" t="s">
        <v>10</v>
      </c>
      <c r="D16" s="2" t="s">
        <v>53</v>
      </c>
      <c r="E16" s="2" t="s">
        <v>18</v>
      </c>
      <c r="F16" s="2" t="s">
        <v>19</v>
      </c>
      <c r="G16" s="3">
        <v>802.33</v>
      </c>
      <c r="H16" s="3">
        <f t="shared" si="0"/>
        <v>802.33</v>
      </c>
      <c r="I16" s="4" t="s">
        <v>80</v>
      </c>
      <c r="J16">
        <f>G16*G10/G11</f>
        <v>27808.784411276949</v>
      </c>
    </row>
    <row r="17" spans="1:10" x14ac:dyDescent="0.3">
      <c r="A17" s="2" t="s">
        <v>54</v>
      </c>
      <c r="B17" s="2" t="s">
        <v>55</v>
      </c>
      <c r="C17" s="2" t="s">
        <v>56</v>
      </c>
      <c r="D17" s="2" t="s">
        <v>32</v>
      </c>
      <c r="E17" s="2" t="s">
        <v>18</v>
      </c>
      <c r="F17" s="2" t="s">
        <v>19</v>
      </c>
      <c r="G17" s="3">
        <v>911.22</v>
      </c>
      <c r="H17" s="3">
        <f t="shared" si="0"/>
        <v>911.22</v>
      </c>
      <c r="I17" s="4" t="s">
        <v>81</v>
      </c>
      <c r="J17" s="7"/>
    </row>
    <row r="18" spans="1:10" x14ac:dyDescent="0.3">
      <c r="A18" s="2" t="s">
        <v>57</v>
      </c>
      <c r="B18" s="2" t="s">
        <v>35</v>
      </c>
      <c r="C18" s="2" t="s">
        <v>35</v>
      </c>
      <c r="D18" s="2" t="s">
        <v>48</v>
      </c>
      <c r="E18" s="2" t="s">
        <v>18</v>
      </c>
      <c r="F18" s="2" t="s">
        <v>19</v>
      </c>
      <c r="G18" s="3">
        <v>2581.61</v>
      </c>
      <c r="H18" s="3">
        <f t="shared" si="0"/>
        <v>2581.61</v>
      </c>
      <c r="I18" s="4" t="s">
        <v>82</v>
      </c>
    </row>
    <row r="19" spans="1:10" x14ac:dyDescent="0.3">
      <c r="A19" s="2" t="s">
        <v>58</v>
      </c>
      <c r="B19" s="2" t="s">
        <v>59</v>
      </c>
      <c r="C19" s="2" t="s">
        <v>60</v>
      </c>
      <c r="D19" s="2" t="s">
        <v>32</v>
      </c>
      <c r="E19" s="2" t="s">
        <v>18</v>
      </c>
      <c r="F19" s="2" t="s">
        <v>19</v>
      </c>
      <c r="G19" s="3">
        <v>3732.24</v>
      </c>
      <c r="H19" s="3">
        <f t="shared" si="0"/>
        <v>3732.24</v>
      </c>
      <c r="I19" s="4" t="s">
        <v>83</v>
      </c>
    </row>
    <row r="20" spans="1:10" x14ac:dyDescent="0.3">
      <c r="A20" s="2" t="s">
        <v>61</v>
      </c>
      <c r="B20" s="2" t="s">
        <v>62</v>
      </c>
      <c r="C20" s="2" t="s">
        <v>63</v>
      </c>
      <c r="D20" s="2" t="s">
        <v>11</v>
      </c>
      <c r="E20" s="2" t="s">
        <v>26</v>
      </c>
      <c r="F20" s="2" t="s">
        <v>64</v>
      </c>
      <c r="G20" s="3">
        <v>385.87</v>
      </c>
      <c r="H20" s="3">
        <f t="shared" si="0"/>
        <v>490.05490000000003</v>
      </c>
      <c r="I20" s="4" t="s">
        <v>84</v>
      </c>
    </row>
    <row r="21" spans="1:10" x14ac:dyDescent="0.3">
      <c r="A21" s="2" t="s">
        <v>65</v>
      </c>
      <c r="B21" s="2" t="s">
        <v>62</v>
      </c>
      <c r="C21" s="2" t="s">
        <v>63</v>
      </c>
      <c r="D21" s="2" t="s">
        <v>36</v>
      </c>
      <c r="E21" s="2" t="s">
        <v>37</v>
      </c>
      <c r="F21" s="2" t="s">
        <v>19</v>
      </c>
      <c r="G21" s="3">
        <v>3931.9</v>
      </c>
      <c r="H21" s="3">
        <f t="shared" si="0"/>
        <v>3931.9</v>
      </c>
      <c r="I21" s="4" t="s">
        <v>85</v>
      </c>
    </row>
    <row r="22" spans="1:10" x14ac:dyDescent="0.3">
      <c r="G22" s="10">
        <f>SUM(G2:G21)</f>
        <v>47366.16</v>
      </c>
    </row>
  </sheetData>
  <conditionalFormatting sqref="G2:G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{D50B0E1E-32C2-4F3B-BC38-D7DB40095F8B}</x14:id>
        </ext>
      </extLst>
    </cfRule>
  </conditionalFormatting>
  <conditionalFormatting sqref="H2:H21">
    <cfRule type="iconSet" priority="1">
      <iconSet iconSet="3Arrows">
        <cfvo type="percent" val="0"/>
        <cfvo type="percent" val="33"/>
        <cfvo type="percent" val="67"/>
      </iconSet>
    </cfRule>
  </conditionalFormatting>
  <hyperlinks>
    <hyperlink ref="D7" location="Sheet3!A1" display="Payment" xr:uid="{58FAFCF9-989E-461F-9577-32DA1BBE4305}"/>
    <hyperlink ref="D12" r:id="rId1" xr:uid="{7BC53647-CA0D-46BA-B170-BF7B5815D454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0B0E1E-32C2-4F3B-BC38-D7DB40095F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DC4A6-6F55-47DA-A581-06513EDFBFDE}">
  <dimension ref="A1:C10"/>
  <sheetViews>
    <sheetView workbookViewId="0">
      <selection activeCell="H15" sqref="H15"/>
    </sheetView>
  </sheetViews>
  <sheetFormatPr defaultRowHeight="15.6" x14ac:dyDescent="0.3"/>
  <cols>
    <col min="2" max="2" width="7.3984375" style="14" bestFit="1" customWidth="1"/>
    <col min="3" max="3" width="11" style="14" bestFit="1" customWidth="1"/>
  </cols>
  <sheetData>
    <row r="1" spans="1:3" x14ac:dyDescent="0.3">
      <c r="A1" s="11" t="s">
        <v>2</v>
      </c>
      <c r="B1" s="15" t="s">
        <v>6</v>
      </c>
      <c r="C1" s="15" t="s">
        <v>7</v>
      </c>
    </row>
    <row r="2" spans="1:3" x14ac:dyDescent="0.3">
      <c r="A2" t="s">
        <v>10</v>
      </c>
      <c r="B2" s="14">
        <v>955.8</v>
      </c>
      <c r="C2" s="14">
        <v>1032.2640000000001</v>
      </c>
    </row>
    <row r="3" spans="1:3" x14ac:dyDescent="0.3">
      <c r="A3" t="s">
        <v>16</v>
      </c>
      <c r="B3" s="14">
        <v>12.41</v>
      </c>
      <c r="C3" s="14">
        <v>100</v>
      </c>
    </row>
    <row r="4" spans="1:3" x14ac:dyDescent="0.3">
      <c r="A4" t="s">
        <v>22</v>
      </c>
      <c r="B4" s="14">
        <v>1842.59</v>
      </c>
      <c r="C4" s="14">
        <v>1842.59</v>
      </c>
    </row>
    <row r="5" spans="1:3" x14ac:dyDescent="0.3">
      <c r="A5" t="s">
        <v>25</v>
      </c>
      <c r="B5" s="14">
        <v>522.01</v>
      </c>
      <c r="C5" s="14">
        <v>563.77080000000001</v>
      </c>
    </row>
    <row r="6" spans="1:3" x14ac:dyDescent="0.3">
      <c r="A6" t="s">
        <v>25</v>
      </c>
      <c r="B6" s="14">
        <v>874.91</v>
      </c>
      <c r="C6" s="14">
        <v>874.91</v>
      </c>
    </row>
    <row r="7" spans="1:3" x14ac:dyDescent="0.3">
      <c r="A7" t="s">
        <v>31</v>
      </c>
      <c r="B7" s="14">
        <v>4131.9399999999996</v>
      </c>
      <c r="C7" s="14">
        <v>4131.9399999999996</v>
      </c>
    </row>
    <row r="8" spans="1:3" x14ac:dyDescent="0.3">
      <c r="A8" t="s">
        <v>35</v>
      </c>
      <c r="B8" s="14">
        <v>10999.85</v>
      </c>
      <c r="C8" s="14">
        <v>1539.9790000000003</v>
      </c>
    </row>
    <row r="9" spans="1:3" x14ac:dyDescent="0.3">
      <c r="A9" t="s">
        <v>25</v>
      </c>
      <c r="B9" s="14">
        <v>4276.34</v>
      </c>
      <c r="C9" s="14">
        <v>598.68760000000009</v>
      </c>
    </row>
    <row r="10" spans="1:3" x14ac:dyDescent="0.3">
      <c r="A10" t="s">
        <v>22</v>
      </c>
      <c r="B10" s="14">
        <v>836</v>
      </c>
      <c r="C10" s="14">
        <v>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52F7-F3C7-45A6-9231-12C70277582E}">
  <dimension ref="A1:C10"/>
  <sheetViews>
    <sheetView workbookViewId="0">
      <selection sqref="A1:XFD1048576"/>
    </sheetView>
  </sheetViews>
  <sheetFormatPr defaultRowHeight="15.6" x14ac:dyDescent="0.3"/>
  <cols>
    <col min="2" max="2" width="7.3984375" bestFit="1" customWidth="1"/>
    <col min="3" max="3" width="11" bestFit="1" customWidth="1"/>
  </cols>
  <sheetData>
    <row r="1" spans="1:3" x14ac:dyDescent="0.3">
      <c r="A1" s="11" t="s">
        <v>2</v>
      </c>
      <c r="B1" s="15" t="s">
        <v>6</v>
      </c>
      <c r="C1" s="15" t="s">
        <v>7</v>
      </c>
    </row>
    <row r="2" spans="1:3" x14ac:dyDescent="0.3">
      <c r="A2" t="s">
        <v>10</v>
      </c>
      <c r="B2" s="14">
        <v>955.8</v>
      </c>
      <c r="C2" s="14">
        <v>1032.2640000000001</v>
      </c>
    </row>
    <row r="3" spans="1:3" x14ac:dyDescent="0.3">
      <c r="A3" t="s">
        <v>16</v>
      </c>
      <c r="B3" s="14">
        <v>12.41</v>
      </c>
      <c r="C3" s="14">
        <v>12.41</v>
      </c>
    </row>
    <row r="4" spans="1:3" x14ac:dyDescent="0.3">
      <c r="A4" t="s">
        <v>22</v>
      </c>
      <c r="B4" s="14">
        <v>1842.59</v>
      </c>
      <c r="C4" s="14">
        <v>1842.59</v>
      </c>
    </row>
    <row r="5" spans="1:3" x14ac:dyDescent="0.3">
      <c r="A5" t="s">
        <v>25</v>
      </c>
      <c r="B5" s="14">
        <v>522.01</v>
      </c>
      <c r="C5" s="14">
        <v>563.77080000000001</v>
      </c>
    </row>
    <row r="6" spans="1:3" x14ac:dyDescent="0.3">
      <c r="A6" t="s">
        <v>25</v>
      </c>
      <c r="B6" s="14">
        <v>874.91</v>
      </c>
      <c r="C6" s="14">
        <v>874.91</v>
      </c>
    </row>
    <row r="7" spans="1:3" x14ac:dyDescent="0.3">
      <c r="A7" t="s">
        <v>31</v>
      </c>
      <c r="B7" s="14">
        <v>4131.9399999999996</v>
      </c>
      <c r="C7" s="14">
        <v>4131.9399999999996</v>
      </c>
    </row>
    <row r="8" spans="1:3" x14ac:dyDescent="0.3">
      <c r="A8" t="s">
        <v>35</v>
      </c>
      <c r="B8" s="14">
        <v>10999.85</v>
      </c>
      <c r="C8" s="14">
        <v>1539.9790000000003</v>
      </c>
    </row>
    <row r="9" spans="1:3" x14ac:dyDescent="0.3">
      <c r="A9" t="s">
        <v>25</v>
      </c>
      <c r="B9" s="14">
        <v>4276.34</v>
      </c>
      <c r="C9" s="14">
        <v>598.68760000000009</v>
      </c>
    </row>
    <row r="10" spans="1:3" x14ac:dyDescent="0.3">
      <c r="A10" t="s">
        <v>22</v>
      </c>
      <c r="B10" s="14">
        <v>836</v>
      </c>
      <c r="C10" s="14">
        <v>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0DE90-7EF3-4C18-83E2-974A5C2F6162}">
  <dimension ref="A1:C10"/>
  <sheetViews>
    <sheetView workbookViewId="0">
      <selection sqref="A1:C10"/>
    </sheetView>
  </sheetViews>
  <sheetFormatPr defaultRowHeight="15.6" x14ac:dyDescent="0.3"/>
  <cols>
    <col min="2" max="2" width="7.3984375" bestFit="1" customWidth="1"/>
    <col min="3" max="3" width="11" bestFit="1" customWidth="1"/>
  </cols>
  <sheetData>
    <row r="1" spans="1:3" x14ac:dyDescent="0.3">
      <c r="A1" s="11" t="s">
        <v>2</v>
      </c>
      <c r="B1" s="15" t="s">
        <v>6</v>
      </c>
      <c r="C1" s="15" t="s">
        <v>7</v>
      </c>
    </row>
    <row r="2" spans="1:3" x14ac:dyDescent="0.3">
      <c r="A2" t="s">
        <v>10</v>
      </c>
      <c r="B2" s="14">
        <v>955.8</v>
      </c>
      <c r="C2" s="14">
        <v>1032.2640000000001</v>
      </c>
    </row>
    <row r="3" spans="1:3" x14ac:dyDescent="0.3">
      <c r="A3" t="s">
        <v>16</v>
      </c>
      <c r="B3" s="14">
        <v>12.41</v>
      </c>
      <c r="C3" s="14">
        <v>12.41</v>
      </c>
    </row>
    <row r="4" spans="1:3" x14ac:dyDescent="0.3">
      <c r="A4" t="s">
        <v>22</v>
      </c>
      <c r="B4" s="14">
        <v>1842.59</v>
      </c>
      <c r="C4" s="14">
        <v>1842.59</v>
      </c>
    </row>
    <row r="5" spans="1:3" x14ac:dyDescent="0.3">
      <c r="A5" t="s">
        <v>25</v>
      </c>
      <c r="B5" s="14">
        <v>522.01</v>
      </c>
      <c r="C5" s="14">
        <v>563.77080000000001</v>
      </c>
    </row>
    <row r="6" spans="1:3" x14ac:dyDescent="0.3">
      <c r="A6" t="s">
        <v>25</v>
      </c>
      <c r="B6" s="14">
        <v>874.91</v>
      </c>
      <c r="C6" s="14">
        <v>874.91</v>
      </c>
    </row>
    <row r="7" spans="1:3" x14ac:dyDescent="0.3">
      <c r="A7" t="s">
        <v>31</v>
      </c>
      <c r="B7" s="14">
        <v>4131.9399999999996</v>
      </c>
      <c r="C7" s="14">
        <v>4131.9399999999996</v>
      </c>
    </row>
    <row r="8" spans="1:3" x14ac:dyDescent="0.3">
      <c r="A8" t="s">
        <v>35</v>
      </c>
      <c r="B8" s="14">
        <v>10999.85</v>
      </c>
      <c r="C8" s="14">
        <v>1539.9790000000003</v>
      </c>
    </row>
    <row r="9" spans="1:3" x14ac:dyDescent="0.3">
      <c r="A9" t="s">
        <v>25</v>
      </c>
      <c r="B9" s="14">
        <v>4276.34</v>
      </c>
      <c r="C9" s="14">
        <v>598.68760000000009</v>
      </c>
    </row>
    <row r="10" spans="1:3" x14ac:dyDescent="0.3">
      <c r="A10" t="s">
        <v>22</v>
      </c>
      <c r="B10" s="14">
        <v>836</v>
      </c>
      <c r="C10" s="14">
        <v>836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94DE-1FCF-4C06-B621-76CFD78B0642}">
  <dimension ref="D6:F15"/>
  <sheetViews>
    <sheetView workbookViewId="0"/>
  </sheetViews>
  <sheetFormatPr defaultRowHeight="15.6" x14ac:dyDescent="0.3"/>
  <cols>
    <col min="5" max="5" width="7.3984375" bestFit="1" customWidth="1"/>
    <col min="6" max="6" width="11" bestFit="1" customWidth="1"/>
  </cols>
  <sheetData>
    <row r="6" spans="4:6" x14ac:dyDescent="0.3">
      <c r="D6" s="11" t="s">
        <v>2</v>
      </c>
      <c r="E6" s="15" t="s">
        <v>6</v>
      </c>
      <c r="F6" s="15" t="s">
        <v>7</v>
      </c>
    </row>
    <row r="7" spans="4:6" x14ac:dyDescent="0.3">
      <c r="D7" t="s">
        <v>10</v>
      </c>
      <c r="E7" s="14">
        <v>955.8</v>
      </c>
      <c r="F7" s="14">
        <v>1032.2640000000001</v>
      </c>
    </row>
    <row r="8" spans="4:6" x14ac:dyDescent="0.3">
      <c r="D8" t="s">
        <v>16</v>
      </c>
      <c r="E8" s="14">
        <v>12.41</v>
      </c>
      <c r="F8" s="14">
        <v>12.41</v>
      </c>
    </row>
    <row r="9" spans="4:6" x14ac:dyDescent="0.3">
      <c r="D9" t="s">
        <v>22</v>
      </c>
      <c r="E9" s="14">
        <v>1842.59</v>
      </c>
      <c r="F9" s="14">
        <v>1842.59</v>
      </c>
    </row>
    <row r="10" spans="4:6" x14ac:dyDescent="0.3">
      <c r="D10" t="s">
        <v>25</v>
      </c>
      <c r="E10" s="14">
        <v>522.01</v>
      </c>
      <c r="F10" s="14">
        <v>563.77080000000001</v>
      </c>
    </row>
    <row r="11" spans="4:6" x14ac:dyDescent="0.3">
      <c r="D11" t="s">
        <v>25</v>
      </c>
      <c r="E11" s="14">
        <v>874.91</v>
      </c>
      <c r="F11" s="14">
        <v>874.91</v>
      </c>
    </row>
    <row r="12" spans="4:6" x14ac:dyDescent="0.3">
      <c r="D12" t="s">
        <v>31</v>
      </c>
      <c r="E12" s="14">
        <v>4131.9399999999996</v>
      </c>
      <c r="F12" s="14">
        <v>4131.9399999999996</v>
      </c>
    </row>
    <row r="13" spans="4:6" x14ac:dyDescent="0.3">
      <c r="D13" t="s">
        <v>35</v>
      </c>
      <c r="E13" s="14">
        <v>10999.85</v>
      </c>
      <c r="F13" s="14">
        <v>1539.9790000000003</v>
      </c>
    </row>
    <row r="14" spans="4:6" x14ac:dyDescent="0.3">
      <c r="D14" t="s">
        <v>25</v>
      </c>
      <c r="E14" s="14">
        <v>4276.34</v>
      </c>
      <c r="F14" s="14">
        <v>598.68760000000009</v>
      </c>
    </row>
    <row r="15" spans="4:6" x14ac:dyDescent="0.3">
      <c r="D15" t="s">
        <v>22</v>
      </c>
      <c r="E15" s="14">
        <v>836</v>
      </c>
      <c r="F15" s="14">
        <v>836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7ECD-4E1A-4BC8-A7DA-9D63CB045ABF}">
  <dimension ref="A1:K10"/>
  <sheetViews>
    <sheetView workbookViewId="0">
      <selection activeCell="I1" sqref="I1:K11"/>
    </sheetView>
  </sheetViews>
  <sheetFormatPr defaultRowHeight="15.6" x14ac:dyDescent="0.3"/>
  <cols>
    <col min="3" max="3" width="11" bestFit="1" customWidth="1"/>
  </cols>
  <sheetData>
    <row r="1" spans="1:11" x14ac:dyDescent="0.3">
      <c r="A1" s="11" t="s">
        <v>2</v>
      </c>
      <c r="B1" s="15" t="s">
        <v>6</v>
      </c>
      <c r="C1" s="15" t="s">
        <v>7</v>
      </c>
      <c r="I1" s="11" t="s">
        <v>2</v>
      </c>
      <c r="J1" s="15" t="s">
        <v>6</v>
      </c>
      <c r="K1" s="15" t="s">
        <v>7</v>
      </c>
    </row>
    <row r="2" spans="1:11" x14ac:dyDescent="0.3">
      <c r="A2" t="s">
        <v>10</v>
      </c>
      <c r="B2" s="14">
        <f>SUM('city-1'!B2,'city-2'!B2,'city-3'!B2)</f>
        <v>2867.3999999999996</v>
      </c>
      <c r="C2" s="14">
        <f>SUM('city-1'!C2,'city-2'!C2,'city-3'!C2)</f>
        <v>3096.7920000000004</v>
      </c>
      <c r="I2" t="s">
        <v>10</v>
      </c>
      <c r="J2" s="14">
        <f>SUM('city-1'!B2,'city-2'!B2,'city-3'!B2,'city-4'!E7)</f>
        <v>3823.2</v>
      </c>
      <c r="K2" s="14">
        <f>SUM('city-1'!C2,'city-2'!C2,'city-3'!C2,'city-4'!F7)</f>
        <v>4129.0560000000005</v>
      </c>
    </row>
    <row r="3" spans="1:11" x14ac:dyDescent="0.3">
      <c r="A3" t="s">
        <v>16</v>
      </c>
      <c r="B3" s="14">
        <f>SUM('city-1'!B3,'city-2'!B3,'city-3'!B3)</f>
        <v>37.230000000000004</v>
      </c>
      <c r="C3" s="14">
        <f>SUM('city-1'!C3,'city-2'!C3,'city-3'!C3)</f>
        <v>124.82</v>
      </c>
      <c r="I3" t="s">
        <v>16</v>
      </c>
      <c r="J3" s="14">
        <f>SUM('city-1'!B3,'city-2'!B3,'city-3'!B3,'city-4'!E8)</f>
        <v>49.64</v>
      </c>
      <c r="K3" s="14">
        <f>SUM('city-1'!C3,'city-2'!C3,'city-3'!C3,'city-4'!F8)</f>
        <v>137.22999999999999</v>
      </c>
    </row>
    <row r="4" spans="1:11" x14ac:dyDescent="0.3">
      <c r="A4" t="s">
        <v>22</v>
      </c>
      <c r="B4" s="14">
        <f>SUM('city-1'!B4,'city-2'!B4,'city-3'!B4)</f>
        <v>5527.7699999999995</v>
      </c>
      <c r="C4" s="14">
        <f>SUM('city-1'!C4,'city-2'!C4,'city-3'!C4)</f>
        <v>5527.7699999999995</v>
      </c>
      <c r="I4" t="s">
        <v>22</v>
      </c>
      <c r="J4" s="14">
        <f>SUM('city-1'!B4,'city-2'!B4,'city-3'!B4,'city-4'!E9)</f>
        <v>7370.36</v>
      </c>
      <c r="K4" s="14">
        <f>SUM('city-1'!C4,'city-2'!C4,'city-3'!C4,'city-4'!F9)</f>
        <v>7370.36</v>
      </c>
    </row>
    <row r="5" spans="1:11" x14ac:dyDescent="0.3">
      <c r="A5" t="s">
        <v>25</v>
      </c>
      <c r="B5" s="14">
        <f>SUM('city-1'!B5,'city-2'!B5,'city-3'!B5)</f>
        <v>1566.03</v>
      </c>
      <c r="C5" s="14">
        <f>SUM('city-1'!C5,'city-2'!C5,'city-3'!C5)</f>
        <v>1691.3124</v>
      </c>
      <c r="I5" t="s">
        <v>25</v>
      </c>
      <c r="J5" s="14">
        <f>SUM('city-1'!B5,'city-2'!B5,'city-3'!B5,'city-4'!E10)</f>
        <v>2088.04</v>
      </c>
      <c r="K5" s="14">
        <f>SUM('city-1'!C5,'city-2'!C5,'city-3'!C5,'city-4'!F10)</f>
        <v>2255.0832</v>
      </c>
    </row>
    <row r="6" spans="1:11" x14ac:dyDescent="0.3">
      <c r="A6" t="s">
        <v>25</v>
      </c>
      <c r="B6" s="14">
        <f>SUM('city-1'!B6,'city-2'!B6,'city-3'!B6)</f>
        <v>2624.73</v>
      </c>
      <c r="C6" s="14">
        <f>SUM('city-1'!C6,'city-2'!C6,'city-3'!C6)</f>
        <v>2624.73</v>
      </c>
      <c r="I6" t="s">
        <v>25</v>
      </c>
      <c r="J6" s="14">
        <f>SUM('city-1'!B6,'city-2'!B6,'city-3'!B6,'city-4'!E11)</f>
        <v>3499.64</v>
      </c>
      <c r="K6" s="14">
        <f>SUM('city-1'!C6,'city-2'!C6,'city-3'!C6,'city-4'!F11)</f>
        <v>3499.64</v>
      </c>
    </row>
    <row r="7" spans="1:11" x14ac:dyDescent="0.3">
      <c r="A7" t="s">
        <v>31</v>
      </c>
      <c r="B7" s="14">
        <f>SUM('city-1'!B7,'city-2'!B7,'city-3'!B7)</f>
        <v>12395.82</v>
      </c>
      <c r="C7" s="14">
        <f>SUM('city-1'!C7,'city-2'!C7,'city-3'!C7)</f>
        <v>12395.82</v>
      </c>
      <c r="I7" t="s">
        <v>31</v>
      </c>
      <c r="J7" s="14">
        <f>SUM('city-1'!B7,'city-2'!B7,'city-3'!B7,'city-4'!E12)</f>
        <v>16527.759999999998</v>
      </c>
      <c r="K7" s="14">
        <f>SUM('city-1'!C7,'city-2'!C7,'city-3'!C7,'city-4'!F12)</f>
        <v>16527.759999999998</v>
      </c>
    </row>
    <row r="8" spans="1:11" x14ac:dyDescent="0.3">
      <c r="A8" t="s">
        <v>35</v>
      </c>
      <c r="B8" s="14">
        <f>SUM('city-1'!B8,'city-2'!B8,'city-3'!B8)</f>
        <v>32999.550000000003</v>
      </c>
      <c r="C8" s="14">
        <f>SUM('city-1'!C8,'city-2'!C8,'city-3'!C8)</f>
        <v>4619.9370000000008</v>
      </c>
      <c r="I8" t="s">
        <v>35</v>
      </c>
      <c r="J8" s="14">
        <f>SUM('city-1'!B8,'city-2'!B8,'city-3'!B8,'city-4'!E13)</f>
        <v>43999.4</v>
      </c>
      <c r="K8" s="14">
        <f>SUM('city-1'!C8,'city-2'!C8,'city-3'!C8,'city-4'!F13)</f>
        <v>6159.9160000000011</v>
      </c>
    </row>
    <row r="9" spans="1:11" x14ac:dyDescent="0.3">
      <c r="A9" t="s">
        <v>25</v>
      </c>
      <c r="B9" s="14">
        <f>SUM('city-1'!B9,'city-2'!B9,'city-3'!B9)</f>
        <v>12829.02</v>
      </c>
      <c r="C9" s="14">
        <f>SUM('city-1'!C9,'city-2'!C9,'city-3'!C9)</f>
        <v>1796.0628000000002</v>
      </c>
      <c r="I9" t="s">
        <v>25</v>
      </c>
      <c r="J9" s="14">
        <f>SUM('city-1'!B9,'city-2'!B9,'city-3'!B9,'city-4'!E14)</f>
        <v>17105.36</v>
      </c>
      <c r="K9" s="14">
        <f>SUM('city-1'!C9,'city-2'!C9,'city-3'!C9,'city-4'!F14)</f>
        <v>2394.7504000000004</v>
      </c>
    </row>
    <row r="10" spans="1:11" x14ac:dyDescent="0.3">
      <c r="A10" t="s">
        <v>22</v>
      </c>
      <c r="B10" s="14">
        <f>SUM('city-1'!B10,'city-2'!B10,'city-3'!B10)</f>
        <v>2508</v>
      </c>
      <c r="C10" s="14">
        <f>SUM('city-1'!C10,'city-2'!C10,'city-3'!C10)</f>
        <v>2508</v>
      </c>
      <c r="I10" t="s">
        <v>22</v>
      </c>
      <c r="J10" s="14">
        <f>SUM('city-1'!B10,'city-2'!B10,'city-3'!B10,'city-4'!E15)</f>
        <v>3344</v>
      </c>
      <c r="K10" s="14">
        <f>SUM('city-1'!C10,'city-2'!C10,'city-3'!C10,'city-4'!F15)</f>
        <v>3344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8941-394F-4B8A-B0B6-0374CF5425C1}">
  <dimension ref="A1:H43"/>
  <sheetViews>
    <sheetView workbookViewId="0">
      <selection activeCell="L51" sqref="L51"/>
    </sheetView>
  </sheetViews>
  <sheetFormatPr defaultColWidth="6" defaultRowHeight="15.6" outlineLevelRow="1" x14ac:dyDescent="0.3"/>
  <cols>
    <col min="3" max="3" width="7.19921875" bestFit="1" customWidth="1"/>
    <col min="4" max="4" width="10.69921875" bestFit="1" customWidth="1"/>
    <col min="8" max="8" width="10.09765625" bestFit="1" customWidth="1"/>
  </cols>
  <sheetData>
    <row r="1" spans="1:8" x14ac:dyDescent="0.3">
      <c r="C1" t="s">
        <v>6</v>
      </c>
      <c r="D1" t="s">
        <v>7</v>
      </c>
    </row>
    <row r="2" spans="1:8" hidden="1" outlineLevel="1" x14ac:dyDescent="0.3">
      <c r="B2" t="s">
        <v>87</v>
      </c>
      <c r="C2" s="14">
        <f>'city-1'!$B$2</f>
        <v>955.8</v>
      </c>
      <c r="D2" s="14">
        <f>'city-1'!$C$2</f>
        <v>1032.2640000000001</v>
      </c>
    </row>
    <row r="3" spans="1:8" hidden="1" outlineLevel="1" collapsed="1" x14ac:dyDescent="0.3">
      <c r="B3" t="s">
        <v>87</v>
      </c>
      <c r="C3" s="14">
        <f>'city-2'!$B$2</f>
        <v>955.8</v>
      </c>
      <c r="D3" s="14">
        <f>'city-2'!$C$2</f>
        <v>1032.2640000000001</v>
      </c>
    </row>
    <row r="4" spans="1:8" hidden="1" outlineLevel="1" collapsed="1" x14ac:dyDescent="0.3">
      <c r="B4" t="s">
        <v>87</v>
      </c>
      <c r="C4" s="14">
        <f>'city-3'!$B$2</f>
        <v>955.8</v>
      </c>
      <c r="D4" s="14">
        <f>'city-3'!$C$2</f>
        <v>1032.2640000000001</v>
      </c>
    </row>
    <row r="5" spans="1:8" hidden="1" outlineLevel="1" collapsed="1" x14ac:dyDescent="0.3">
      <c r="B5" t="s">
        <v>87</v>
      </c>
      <c r="C5" s="14">
        <f>'city-4'!$E$7</f>
        <v>955.8</v>
      </c>
      <c r="D5" s="14">
        <f>'city-4'!$F$7</f>
        <v>1032.2640000000001</v>
      </c>
    </row>
    <row r="6" spans="1:8" collapsed="1" x14ac:dyDescent="0.3">
      <c r="A6" t="s">
        <v>10</v>
      </c>
      <c r="C6" s="14">
        <f>SUM(C2:C5)</f>
        <v>3823.2</v>
      </c>
      <c r="D6" s="14">
        <f>SUM(D2:D5)</f>
        <v>4129.0560000000005</v>
      </c>
    </row>
    <row r="7" spans="1:8" hidden="1" outlineLevel="1" x14ac:dyDescent="0.3">
      <c r="B7" t="s">
        <v>87</v>
      </c>
      <c r="C7" s="14">
        <f>'city-1'!$B$3</f>
        <v>12.41</v>
      </c>
      <c r="D7" s="14">
        <f>'city-1'!$C$3</f>
        <v>100</v>
      </c>
    </row>
    <row r="8" spans="1:8" hidden="1" outlineLevel="1" collapsed="1" x14ac:dyDescent="0.3">
      <c r="B8" t="s">
        <v>87</v>
      </c>
      <c r="C8" s="14">
        <f>'city-2'!$B$3</f>
        <v>12.41</v>
      </c>
      <c r="D8" s="14">
        <f>'city-2'!$C$3</f>
        <v>12.41</v>
      </c>
    </row>
    <row r="9" spans="1:8" hidden="1" outlineLevel="1" collapsed="1" x14ac:dyDescent="0.3">
      <c r="B9" t="s">
        <v>87</v>
      </c>
      <c r="C9" s="14">
        <f>'city-3'!$B$3</f>
        <v>12.41</v>
      </c>
      <c r="D9" s="14">
        <f>'city-3'!$C$3</f>
        <v>12.41</v>
      </c>
    </row>
    <row r="10" spans="1:8" hidden="1" outlineLevel="1" collapsed="1" x14ac:dyDescent="0.3">
      <c r="B10" t="s">
        <v>87</v>
      </c>
      <c r="C10" s="14">
        <f>'city-4'!$E$8</f>
        <v>12.41</v>
      </c>
      <c r="D10" s="14">
        <f>'city-4'!$F$8</f>
        <v>12.41</v>
      </c>
    </row>
    <row r="11" spans="1:8" collapsed="1" x14ac:dyDescent="0.3">
      <c r="A11" t="s">
        <v>16</v>
      </c>
      <c r="C11" s="14">
        <f>SUM(C7:C10)</f>
        <v>49.64</v>
      </c>
      <c r="D11" s="14">
        <f>SUM(D7:D10)</f>
        <v>137.22999999999999</v>
      </c>
      <c r="H11" s="6">
        <f>Sheet1!L8</f>
        <v>46189</v>
      </c>
    </row>
    <row r="12" spans="1:8" hidden="1" outlineLevel="1" x14ac:dyDescent="0.3">
      <c r="B12" t="s">
        <v>87</v>
      </c>
      <c r="C12" s="14">
        <f>'city-1'!$B$4</f>
        <v>1842.59</v>
      </c>
      <c r="D12" s="14">
        <f>'city-1'!$C$4</f>
        <v>1842.59</v>
      </c>
    </row>
    <row r="13" spans="1:8" hidden="1" outlineLevel="1" collapsed="1" x14ac:dyDescent="0.3">
      <c r="C13" s="14">
        <f>'city-1'!$B$10</f>
        <v>836</v>
      </c>
      <c r="D13" s="14">
        <f>'city-1'!$C$10</f>
        <v>836</v>
      </c>
    </row>
    <row r="14" spans="1:8" hidden="1" outlineLevel="1" collapsed="1" x14ac:dyDescent="0.3">
      <c r="B14" t="s">
        <v>87</v>
      </c>
      <c r="C14" s="14">
        <f>'city-2'!$B$4</f>
        <v>1842.59</v>
      </c>
      <c r="D14" s="14">
        <f>'city-2'!$C$4</f>
        <v>1842.59</v>
      </c>
    </row>
    <row r="15" spans="1:8" hidden="1" outlineLevel="1" collapsed="1" x14ac:dyDescent="0.3">
      <c r="C15" s="14">
        <f>'city-2'!$B$10</f>
        <v>836</v>
      </c>
      <c r="D15" s="14">
        <f>'city-2'!$C$10</f>
        <v>836</v>
      </c>
    </row>
    <row r="16" spans="1:8" hidden="1" outlineLevel="1" collapsed="1" x14ac:dyDescent="0.3">
      <c r="B16" t="s">
        <v>87</v>
      </c>
      <c r="C16" s="14">
        <f>'city-3'!$B$4</f>
        <v>1842.59</v>
      </c>
      <c r="D16" s="14">
        <f>'city-3'!$C$4</f>
        <v>1842.59</v>
      </c>
    </row>
    <row r="17" spans="1:4" hidden="1" outlineLevel="1" collapsed="1" x14ac:dyDescent="0.3">
      <c r="C17" s="14">
        <f>'city-3'!$B$10</f>
        <v>836</v>
      </c>
      <c r="D17" s="14">
        <f>'city-3'!$C$10</f>
        <v>836</v>
      </c>
    </row>
    <row r="18" spans="1:4" hidden="1" outlineLevel="1" collapsed="1" x14ac:dyDescent="0.3">
      <c r="B18" t="s">
        <v>87</v>
      </c>
      <c r="C18" s="14">
        <f>'city-4'!$E$9</f>
        <v>1842.59</v>
      </c>
      <c r="D18" s="14">
        <f>'city-4'!$F$9</f>
        <v>1842.59</v>
      </c>
    </row>
    <row r="19" spans="1:4" hidden="1" outlineLevel="1" collapsed="1" x14ac:dyDescent="0.3">
      <c r="C19" s="14">
        <f>'city-4'!$E$15</f>
        <v>836</v>
      </c>
      <c r="D19" s="14">
        <f>'city-4'!$F$15</f>
        <v>836</v>
      </c>
    </row>
    <row r="20" spans="1:4" collapsed="1" x14ac:dyDescent="0.3">
      <c r="A20" t="s">
        <v>22</v>
      </c>
      <c r="C20" s="14">
        <f>SUM(C12:C19)</f>
        <v>10714.36</v>
      </c>
      <c r="D20" s="14">
        <f>SUM(D12:D19)</f>
        <v>10714.36</v>
      </c>
    </row>
    <row r="21" spans="1:4" hidden="1" outlineLevel="1" x14ac:dyDescent="0.3">
      <c r="B21" t="s">
        <v>87</v>
      </c>
      <c r="C21" s="14">
        <f>'city-1'!$B$5</f>
        <v>522.01</v>
      </c>
      <c r="D21" s="14">
        <f>'city-1'!$C$5</f>
        <v>563.77080000000001</v>
      </c>
    </row>
    <row r="22" spans="1:4" hidden="1" outlineLevel="1" collapsed="1" x14ac:dyDescent="0.3">
      <c r="C22" s="14">
        <f>'city-1'!$B$6</f>
        <v>874.91</v>
      </c>
      <c r="D22" s="14">
        <f>'city-1'!$C$6</f>
        <v>874.91</v>
      </c>
    </row>
    <row r="23" spans="1:4" hidden="1" outlineLevel="1" collapsed="1" x14ac:dyDescent="0.3">
      <c r="C23" s="14">
        <f>'city-1'!$B$9</f>
        <v>4276.34</v>
      </c>
      <c r="D23" s="14">
        <f>'city-1'!$C$9</f>
        <v>598.68760000000009</v>
      </c>
    </row>
    <row r="24" spans="1:4" hidden="1" outlineLevel="1" collapsed="1" x14ac:dyDescent="0.3">
      <c r="B24" t="s">
        <v>87</v>
      </c>
      <c r="C24" s="14">
        <f>'city-2'!$B$5</f>
        <v>522.01</v>
      </c>
      <c r="D24" s="14">
        <f>'city-2'!$C$5</f>
        <v>563.77080000000001</v>
      </c>
    </row>
    <row r="25" spans="1:4" hidden="1" outlineLevel="1" collapsed="1" x14ac:dyDescent="0.3">
      <c r="C25" s="14">
        <f>'city-2'!$B$6</f>
        <v>874.91</v>
      </c>
      <c r="D25" s="14">
        <f>'city-2'!$C$6</f>
        <v>874.91</v>
      </c>
    </row>
    <row r="26" spans="1:4" hidden="1" outlineLevel="1" collapsed="1" x14ac:dyDescent="0.3">
      <c r="C26" s="14">
        <f>'city-2'!$B$9</f>
        <v>4276.34</v>
      </c>
      <c r="D26" s="14">
        <f>'city-2'!$C$9</f>
        <v>598.68760000000009</v>
      </c>
    </row>
    <row r="27" spans="1:4" hidden="1" outlineLevel="1" collapsed="1" x14ac:dyDescent="0.3">
      <c r="B27" t="s">
        <v>87</v>
      </c>
      <c r="C27" s="14">
        <f>'city-3'!$B$5</f>
        <v>522.01</v>
      </c>
      <c r="D27" s="14">
        <f>'city-3'!$C$5</f>
        <v>563.77080000000001</v>
      </c>
    </row>
    <row r="28" spans="1:4" hidden="1" outlineLevel="1" collapsed="1" x14ac:dyDescent="0.3">
      <c r="C28" s="14">
        <f>'city-3'!$B$6</f>
        <v>874.91</v>
      </c>
      <c r="D28" s="14">
        <f>'city-3'!$C$6</f>
        <v>874.91</v>
      </c>
    </row>
    <row r="29" spans="1:4" hidden="1" outlineLevel="1" collapsed="1" x14ac:dyDescent="0.3">
      <c r="C29" s="14">
        <f>'city-3'!$B$9</f>
        <v>4276.34</v>
      </c>
      <c r="D29" s="14">
        <f>'city-3'!$C$9</f>
        <v>598.68760000000009</v>
      </c>
    </row>
    <row r="30" spans="1:4" hidden="1" outlineLevel="1" collapsed="1" x14ac:dyDescent="0.3">
      <c r="B30" t="s">
        <v>87</v>
      </c>
      <c r="C30" s="14">
        <f>'city-4'!$E$10</f>
        <v>522.01</v>
      </c>
      <c r="D30" s="14">
        <f>'city-4'!$F$10</f>
        <v>563.77080000000001</v>
      </c>
    </row>
    <row r="31" spans="1:4" hidden="1" outlineLevel="1" collapsed="1" x14ac:dyDescent="0.3">
      <c r="C31" s="14">
        <f>'city-4'!$E$11</f>
        <v>874.91</v>
      </c>
      <c r="D31" s="14">
        <f>'city-4'!$F$11</f>
        <v>874.91</v>
      </c>
    </row>
    <row r="32" spans="1:4" hidden="1" outlineLevel="1" collapsed="1" x14ac:dyDescent="0.3">
      <c r="C32" s="14">
        <f>'city-4'!$E$14</f>
        <v>4276.34</v>
      </c>
      <c r="D32" s="14">
        <f>'city-4'!$F$14</f>
        <v>598.68760000000009</v>
      </c>
    </row>
    <row r="33" spans="1:4" collapsed="1" x14ac:dyDescent="0.3">
      <c r="A33" t="s">
        <v>25</v>
      </c>
      <c r="C33" s="14">
        <f>SUM(C21:C32)</f>
        <v>22693.039999999997</v>
      </c>
      <c r="D33" s="14">
        <f>SUM(D21:D32)</f>
        <v>8149.4736000000012</v>
      </c>
    </row>
    <row r="34" spans="1:4" hidden="1" outlineLevel="1" x14ac:dyDescent="0.3">
      <c r="B34" t="s">
        <v>87</v>
      </c>
      <c r="C34" s="14">
        <f>'city-1'!$B$7</f>
        <v>4131.9399999999996</v>
      </c>
      <c r="D34" s="14">
        <f>'city-1'!$C$7</f>
        <v>4131.9399999999996</v>
      </c>
    </row>
    <row r="35" spans="1:4" hidden="1" outlineLevel="1" collapsed="1" x14ac:dyDescent="0.3">
      <c r="B35" t="s">
        <v>87</v>
      </c>
      <c r="C35" s="14">
        <f>'city-2'!$B$7</f>
        <v>4131.9399999999996</v>
      </c>
      <c r="D35" s="14">
        <f>'city-2'!$C$7</f>
        <v>4131.9399999999996</v>
      </c>
    </row>
    <row r="36" spans="1:4" hidden="1" outlineLevel="1" collapsed="1" x14ac:dyDescent="0.3">
      <c r="B36" t="s">
        <v>87</v>
      </c>
      <c r="C36" s="14">
        <f>'city-3'!$B$7</f>
        <v>4131.9399999999996</v>
      </c>
      <c r="D36" s="14">
        <f>'city-3'!$C$7</f>
        <v>4131.9399999999996</v>
      </c>
    </row>
    <row r="37" spans="1:4" hidden="1" outlineLevel="1" collapsed="1" x14ac:dyDescent="0.3">
      <c r="B37" t="s">
        <v>87</v>
      </c>
      <c r="C37" s="14">
        <f>'city-4'!$E$12</f>
        <v>4131.9399999999996</v>
      </c>
      <c r="D37" s="14">
        <f>'city-4'!$F$12</f>
        <v>4131.9399999999996</v>
      </c>
    </row>
    <row r="38" spans="1:4" collapsed="1" x14ac:dyDescent="0.3">
      <c r="A38" t="s">
        <v>31</v>
      </c>
      <c r="C38" s="14">
        <f>SUM(C34:C37)</f>
        <v>16527.759999999998</v>
      </c>
      <c r="D38" s="14">
        <f>SUM(D34:D37)</f>
        <v>16527.759999999998</v>
      </c>
    </row>
    <row r="39" spans="1:4" hidden="1" outlineLevel="1" x14ac:dyDescent="0.3">
      <c r="B39" t="s">
        <v>87</v>
      </c>
      <c r="C39" s="14">
        <f>'city-1'!$B$8</f>
        <v>10999.85</v>
      </c>
      <c r="D39" s="14">
        <f>'city-1'!$C$8</f>
        <v>1539.9790000000003</v>
      </c>
    </row>
    <row r="40" spans="1:4" hidden="1" outlineLevel="1" collapsed="1" x14ac:dyDescent="0.3">
      <c r="B40" t="s">
        <v>87</v>
      </c>
      <c r="C40" s="14">
        <f>'city-2'!$B$8</f>
        <v>10999.85</v>
      </c>
      <c r="D40" s="14">
        <f>'city-2'!$C$8</f>
        <v>1539.9790000000003</v>
      </c>
    </row>
    <row r="41" spans="1:4" hidden="1" outlineLevel="1" collapsed="1" x14ac:dyDescent="0.3">
      <c r="B41" t="s">
        <v>87</v>
      </c>
      <c r="C41" s="14">
        <f>'city-3'!$B$8</f>
        <v>10999.85</v>
      </c>
      <c r="D41" s="14">
        <f>'city-3'!$C$8</f>
        <v>1539.9790000000003</v>
      </c>
    </row>
    <row r="42" spans="1:4" hidden="1" outlineLevel="1" collapsed="1" x14ac:dyDescent="0.3">
      <c r="B42" t="s">
        <v>87</v>
      </c>
      <c r="C42" s="14">
        <f>'city-4'!$E$13</f>
        <v>10999.85</v>
      </c>
      <c r="D42" s="14">
        <f>'city-4'!$F$13</f>
        <v>1539.9790000000003</v>
      </c>
    </row>
    <row r="43" spans="1:4" collapsed="1" x14ac:dyDescent="0.3">
      <c r="A43" t="s">
        <v>35</v>
      </c>
      <c r="C43" s="14">
        <f>SUM(C39:C42)</f>
        <v>43999.4</v>
      </c>
      <c r="D43" s="14">
        <f>SUM(D39:D42)</f>
        <v>6159.9160000000011</v>
      </c>
    </row>
  </sheetData>
  <dataConsolidate leftLabels="1" topLabels="1" link="1">
    <dataRefs count="4">
      <dataRef ref="A1:C10" sheet="city-1"/>
      <dataRef ref="A1:C10" sheet="city-2"/>
      <dataRef ref="A1:C10" sheet="city-3"/>
      <dataRef ref="D6:F15" sheet="city-4"/>
    </dataRefs>
  </dataConsolid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2AB78-75CA-44F3-83EE-597EED2DB08C}">
  <dimension ref="A1:H21"/>
  <sheetViews>
    <sheetView topLeftCell="A15" workbookViewId="0">
      <selection activeCell="J8" sqref="J8"/>
    </sheetView>
  </sheetViews>
  <sheetFormatPr defaultColWidth="9" defaultRowHeight="15.6" x14ac:dyDescent="0.3"/>
  <cols>
    <col min="1" max="1" width="15.5" bestFit="1" customWidth="1"/>
    <col min="2" max="2" width="9.3984375" bestFit="1" customWidth="1"/>
    <col min="3" max="3" width="8.796875" bestFit="1" customWidth="1"/>
    <col min="4" max="4" width="14.09765625" bestFit="1" customWidth="1"/>
    <col min="5" max="5" width="12.296875" bestFit="1" customWidth="1"/>
    <col min="6" max="6" width="8.19921875" bestFit="1" customWidth="1"/>
    <col min="7" max="7" width="8.8984375" bestFit="1" customWidth="1"/>
    <col min="8" max="8" width="10.69921875" bestFit="1" customWidth="1"/>
  </cols>
  <sheetData>
    <row r="1" spans="1:8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955.8</v>
      </c>
      <c r="H2">
        <v>1032.2640000000001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12.41</v>
      </c>
      <c r="H3">
        <v>12.41</v>
      </c>
    </row>
    <row r="4" spans="1:8" x14ac:dyDescent="0.3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19</v>
      </c>
      <c r="G4">
        <v>1842.59</v>
      </c>
      <c r="H4">
        <v>1842.59</v>
      </c>
    </row>
    <row r="5" spans="1:8" x14ac:dyDescent="0.3">
      <c r="A5" t="s">
        <v>23</v>
      </c>
      <c r="B5" t="s">
        <v>24</v>
      </c>
      <c r="C5" t="s">
        <v>25</v>
      </c>
      <c r="D5" t="s">
        <v>11</v>
      </c>
      <c r="E5" t="s">
        <v>26</v>
      </c>
      <c r="F5" t="s">
        <v>13</v>
      </c>
      <c r="G5">
        <v>522.01</v>
      </c>
      <c r="H5">
        <v>563.77080000000001</v>
      </c>
    </row>
    <row r="6" spans="1:8" x14ac:dyDescent="0.3">
      <c r="A6" t="s">
        <v>27</v>
      </c>
      <c r="B6" t="s">
        <v>24</v>
      </c>
      <c r="C6" t="s">
        <v>25</v>
      </c>
      <c r="D6" t="s">
        <v>11</v>
      </c>
      <c r="E6" t="s">
        <v>28</v>
      </c>
      <c r="F6" t="s">
        <v>19</v>
      </c>
      <c r="G6">
        <v>874.91</v>
      </c>
      <c r="H6">
        <v>874.91</v>
      </c>
    </row>
    <row r="7" spans="1:8" x14ac:dyDescent="0.3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19</v>
      </c>
      <c r="G7">
        <v>4131.9399999999996</v>
      </c>
      <c r="H7">
        <v>4131.9399999999996</v>
      </c>
    </row>
    <row r="8" spans="1:8" x14ac:dyDescent="0.3">
      <c r="A8" t="s">
        <v>34</v>
      </c>
      <c r="B8" t="s">
        <v>35</v>
      </c>
      <c r="C8" t="s">
        <v>35</v>
      </c>
      <c r="D8" t="s">
        <v>36</v>
      </c>
      <c r="E8" t="s">
        <v>37</v>
      </c>
      <c r="F8" t="s">
        <v>38</v>
      </c>
      <c r="G8">
        <v>10999.85</v>
      </c>
      <c r="H8">
        <v>1539.9790000000003</v>
      </c>
    </row>
    <row r="9" spans="1:8" x14ac:dyDescent="0.3">
      <c r="A9" t="s">
        <v>39</v>
      </c>
      <c r="B9" t="s">
        <v>24</v>
      </c>
      <c r="C9" t="s">
        <v>25</v>
      </c>
      <c r="D9" t="s">
        <v>36</v>
      </c>
      <c r="E9" t="s">
        <v>37</v>
      </c>
      <c r="F9" t="s">
        <v>38</v>
      </c>
      <c r="G9">
        <v>4276.34</v>
      </c>
      <c r="H9">
        <v>598.68760000000009</v>
      </c>
    </row>
    <row r="10" spans="1:8" x14ac:dyDescent="0.3">
      <c r="A10" t="s">
        <v>44</v>
      </c>
      <c r="B10" t="s">
        <v>21</v>
      </c>
      <c r="C10" t="s">
        <v>22</v>
      </c>
      <c r="D10" t="s">
        <v>32</v>
      </c>
      <c r="E10" t="s">
        <v>28</v>
      </c>
      <c r="F10" t="s">
        <v>19</v>
      </c>
      <c r="G10">
        <v>836</v>
      </c>
      <c r="H10">
        <v>836</v>
      </c>
    </row>
    <row r="11" spans="1:8" x14ac:dyDescent="0.3">
      <c r="A11" t="s">
        <v>45</v>
      </c>
      <c r="B11" t="s">
        <v>21</v>
      </c>
      <c r="C11" t="s">
        <v>22</v>
      </c>
      <c r="D11" t="s">
        <v>17</v>
      </c>
      <c r="E11" t="s">
        <v>18</v>
      </c>
      <c r="F11" t="s">
        <v>19</v>
      </c>
      <c r="G11">
        <v>24.12</v>
      </c>
      <c r="H11">
        <v>24.12</v>
      </c>
    </row>
    <row r="12" spans="1:8" x14ac:dyDescent="0.3">
      <c r="A12" t="s">
        <v>46</v>
      </c>
      <c r="B12" t="s">
        <v>35</v>
      </c>
      <c r="C12" t="s">
        <v>35</v>
      </c>
      <c r="D12" t="s">
        <v>11</v>
      </c>
      <c r="E12" t="s">
        <v>12</v>
      </c>
      <c r="F12" t="s">
        <v>19</v>
      </c>
      <c r="G12">
        <v>1514.19</v>
      </c>
      <c r="H12">
        <v>1514.19</v>
      </c>
    </row>
    <row r="13" spans="1:8" x14ac:dyDescent="0.3">
      <c r="A13" t="s">
        <v>47</v>
      </c>
      <c r="B13" t="s">
        <v>41</v>
      </c>
      <c r="C13" t="s">
        <v>42</v>
      </c>
      <c r="D13" t="s">
        <v>48</v>
      </c>
      <c r="E13" t="s">
        <v>18</v>
      </c>
      <c r="F13" t="s">
        <v>19</v>
      </c>
      <c r="G13">
        <v>1113.46</v>
      </c>
      <c r="H13">
        <v>1113.46</v>
      </c>
    </row>
    <row r="14" spans="1:8" x14ac:dyDescent="0.3">
      <c r="A14" t="s">
        <v>49</v>
      </c>
      <c r="B14" t="s">
        <v>30</v>
      </c>
      <c r="C14" t="s">
        <v>31</v>
      </c>
      <c r="D14" t="s">
        <v>36</v>
      </c>
      <c r="E14" t="s">
        <v>50</v>
      </c>
      <c r="F14" t="s">
        <v>38</v>
      </c>
      <c r="G14">
        <v>6320.1</v>
      </c>
      <c r="H14">
        <v>884.81400000000019</v>
      </c>
    </row>
    <row r="15" spans="1:8" x14ac:dyDescent="0.3">
      <c r="A15" t="s">
        <v>51</v>
      </c>
      <c r="B15" t="s">
        <v>41</v>
      </c>
      <c r="C15" t="s">
        <v>42</v>
      </c>
      <c r="D15" t="s">
        <v>48</v>
      </c>
      <c r="E15" t="s">
        <v>18</v>
      </c>
      <c r="F15" t="s">
        <v>19</v>
      </c>
      <c r="G15">
        <v>1597.27</v>
      </c>
      <c r="H15">
        <v>1597.27</v>
      </c>
    </row>
    <row r="16" spans="1:8" x14ac:dyDescent="0.3">
      <c r="A16" t="s">
        <v>52</v>
      </c>
      <c r="B16" t="s">
        <v>9</v>
      </c>
      <c r="C16" t="s">
        <v>10</v>
      </c>
      <c r="D16" t="s">
        <v>53</v>
      </c>
      <c r="E16" t="s">
        <v>18</v>
      </c>
      <c r="F16" t="s">
        <v>19</v>
      </c>
      <c r="G16">
        <v>80002.33</v>
      </c>
      <c r="H16">
        <v>80002.33</v>
      </c>
    </row>
    <row r="17" spans="1:8" x14ac:dyDescent="0.3">
      <c r="A17" t="s">
        <v>54</v>
      </c>
      <c r="B17" t="s">
        <v>55</v>
      </c>
      <c r="C17" t="s">
        <v>56</v>
      </c>
      <c r="D17" t="s">
        <v>32</v>
      </c>
      <c r="E17" t="s">
        <v>18</v>
      </c>
      <c r="F17" t="s">
        <v>19</v>
      </c>
      <c r="G17">
        <v>911.22</v>
      </c>
      <c r="H17">
        <v>911.22</v>
      </c>
    </row>
    <row r="18" spans="1:8" x14ac:dyDescent="0.3">
      <c r="A18" t="s">
        <v>57</v>
      </c>
      <c r="B18" t="s">
        <v>35</v>
      </c>
      <c r="C18" t="s">
        <v>35</v>
      </c>
      <c r="D18" t="s">
        <v>48</v>
      </c>
      <c r="E18" t="s">
        <v>18</v>
      </c>
      <c r="F18" t="s">
        <v>19</v>
      </c>
      <c r="G18">
        <v>2581.61</v>
      </c>
      <c r="H18">
        <v>2581.61</v>
      </c>
    </row>
    <row r="19" spans="1:8" x14ac:dyDescent="0.3">
      <c r="A19" t="s">
        <v>58</v>
      </c>
      <c r="B19" t="s">
        <v>59</v>
      </c>
      <c r="C19" t="s">
        <v>60</v>
      </c>
      <c r="D19" t="s">
        <v>32</v>
      </c>
      <c r="E19" t="s">
        <v>18</v>
      </c>
      <c r="F19" t="s">
        <v>19</v>
      </c>
      <c r="G19">
        <v>3732.24</v>
      </c>
      <c r="H19">
        <v>3732.24</v>
      </c>
    </row>
    <row r="20" spans="1:8" x14ac:dyDescent="0.3">
      <c r="A20" t="s">
        <v>61</v>
      </c>
      <c r="B20" t="s">
        <v>62</v>
      </c>
      <c r="C20" t="s">
        <v>63</v>
      </c>
      <c r="D20" t="s">
        <v>11</v>
      </c>
      <c r="E20" t="s">
        <v>26</v>
      </c>
      <c r="F20" t="s">
        <v>64</v>
      </c>
      <c r="G20">
        <v>385.87</v>
      </c>
      <c r="H20">
        <v>490.05490000000003</v>
      </c>
    </row>
    <row r="21" spans="1:8" x14ac:dyDescent="0.3">
      <c r="A21" t="s">
        <v>65</v>
      </c>
      <c r="B21" t="s">
        <v>62</v>
      </c>
      <c r="C21" t="s">
        <v>63</v>
      </c>
      <c r="D21" t="s">
        <v>36</v>
      </c>
      <c r="E21" t="s">
        <v>37</v>
      </c>
      <c r="F21" t="s">
        <v>19</v>
      </c>
      <c r="G21">
        <v>3931.9</v>
      </c>
      <c r="H21">
        <v>3931.9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7563-D63C-4FD5-85BC-8CE2E2835D6B}">
  <dimension ref="A1:M35"/>
  <sheetViews>
    <sheetView workbookViewId="0">
      <selection activeCell="K32" sqref="K32"/>
    </sheetView>
  </sheetViews>
  <sheetFormatPr defaultRowHeight="15.6" x14ac:dyDescent="0.3"/>
  <cols>
    <col min="1" max="1" width="15.5" bestFit="1" customWidth="1"/>
    <col min="2" max="2" width="9.3984375" bestFit="1" customWidth="1"/>
    <col min="4" max="4" width="14.09765625" bestFit="1" customWidth="1"/>
    <col min="5" max="5" width="12.296875" bestFit="1" customWidth="1"/>
    <col min="6" max="6" width="8.19921875" bestFit="1" customWidth="1"/>
    <col min="7" max="7" width="8.8984375" bestFit="1" customWidth="1"/>
    <col min="8" max="8" width="10.69921875" bestFit="1" customWidth="1"/>
    <col min="9" max="9" width="9.3984375" style="8" bestFit="1" customWidth="1"/>
    <col min="11" max="11" width="10.09765625" style="6" bestFit="1" customWidth="1"/>
    <col min="12" max="12" width="7.8984375" bestFit="1" customWidth="1"/>
  </cols>
  <sheetData>
    <row r="1" spans="1:13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8" t="s">
        <v>88</v>
      </c>
      <c r="M1" t="s">
        <v>5</v>
      </c>
    </row>
    <row r="2" spans="1:13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955.8</v>
      </c>
      <c r="H2">
        <v>1032.2640000000001</v>
      </c>
      <c r="I2" s="8">
        <v>44756</v>
      </c>
      <c r="M2" t="s">
        <v>19</v>
      </c>
    </row>
    <row r="3" spans="1:13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12.41</v>
      </c>
      <c r="H3">
        <v>12.41</v>
      </c>
      <c r="I3" s="8">
        <v>44756</v>
      </c>
      <c r="K3" s="6" t="s">
        <v>89</v>
      </c>
      <c r="M3" t="s">
        <v>38</v>
      </c>
    </row>
    <row r="4" spans="1:13" x14ac:dyDescent="0.3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19</v>
      </c>
      <c r="G4">
        <v>1842.59</v>
      </c>
      <c r="H4">
        <v>1842.59</v>
      </c>
      <c r="I4" s="8">
        <v>45314</v>
      </c>
      <c r="K4" s="6" t="s">
        <v>90</v>
      </c>
      <c r="M4" t="s">
        <v>13</v>
      </c>
    </row>
    <row r="5" spans="1:13" x14ac:dyDescent="0.3">
      <c r="A5" t="s">
        <v>23</v>
      </c>
      <c r="B5" t="s">
        <v>24</v>
      </c>
      <c r="C5" t="s">
        <v>25</v>
      </c>
      <c r="D5" t="s">
        <v>11</v>
      </c>
      <c r="E5" t="s">
        <v>26</v>
      </c>
      <c r="F5" t="s">
        <v>13</v>
      </c>
      <c r="G5">
        <v>522.01</v>
      </c>
      <c r="H5">
        <v>563.77080000000001</v>
      </c>
      <c r="I5" s="8">
        <v>45094</v>
      </c>
      <c r="K5" s="6" t="s">
        <v>69</v>
      </c>
    </row>
    <row r="6" spans="1:13" x14ac:dyDescent="0.3">
      <c r="A6" t="s">
        <v>27</v>
      </c>
      <c r="B6" t="s">
        <v>24</v>
      </c>
      <c r="C6" t="s">
        <v>25</v>
      </c>
      <c r="D6" t="s">
        <v>11</v>
      </c>
      <c r="E6" t="s">
        <v>28</v>
      </c>
      <c r="F6" t="s">
        <v>19</v>
      </c>
      <c r="G6">
        <v>874.91</v>
      </c>
      <c r="H6">
        <v>874.91</v>
      </c>
      <c r="I6" s="8">
        <v>45381</v>
      </c>
      <c r="K6" s="6" t="s">
        <v>70</v>
      </c>
      <c r="M6" t="s">
        <v>19</v>
      </c>
    </row>
    <row r="7" spans="1:13" x14ac:dyDescent="0.3">
      <c r="A7" s="12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19</v>
      </c>
      <c r="G7">
        <v>4131.9399999999996</v>
      </c>
      <c r="H7">
        <v>4131.9399999999996</v>
      </c>
      <c r="I7" s="8">
        <v>45498</v>
      </c>
      <c r="K7" s="6" t="s">
        <v>91</v>
      </c>
    </row>
    <row r="8" spans="1:13" x14ac:dyDescent="0.3">
      <c r="A8" s="12" t="s">
        <v>34</v>
      </c>
      <c r="B8" t="s">
        <v>35</v>
      </c>
      <c r="C8" t="s">
        <v>35</v>
      </c>
      <c r="D8" t="s">
        <v>36</v>
      </c>
      <c r="E8" t="s">
        <v>37</v>
      </c>
      <c r="F8" t="s">
        <v>38</v>
      </c>
      <c r="G8">
        <v>10999.85</v>
      </c>
      <c r="H8">
        <v>1539.9790000000003</v>
      </c>
      <c r="I8" s="8">
        <v>45840</v>
      </c>
      <c r="K8" s="6">
        <v>46159</v>
      </c>
    </row>
    <row r="9" spans="1:13" x14ac:dyDescent="0.3">
      <c r="A9" s="12" t="s">
        <v>39</v>
      </c>
      <c r="B9" t="s">
        <v>24</v>
      </c>
      <c r="C9" t="s">
        <v>25</v>
      </c>
      <c r="D9" t="s">
        <v>36</v>
      </c>
      <c r="E9" t="s">
        <v>37</v>
      </c>
      <c r="F9" t="s">
        <v>38</v>
      </c>
      <c r="G9">
        <v>4276.34</v>
      </c>
      <c r="H9">
        <v>598.68760000000009</v>
      </c>
      <c r="I9" s="8">
        <v>45925</v>
      </c>
      <c r="K9" s="6" t="s">
        <v>73</v>
      </c>
    </row>
    <row r="10" spans="1:13" x14ac:dyDescent="0.3">
      <c r="A10" s="12" t="s">
        <v>44</v>
      </c>
      <c r="B10" t="s">
        <v>21</v>
      </c>
      <c r="C10" t="s">
        <v>22</v>
      </c>
      <c r="D10" t="s">
        <v>32</v>
      </c>
      <c r="E10" t="s">
        <v>28</v>
      </c>
      <c r="F10" t="s">
        <v>19</v>
      </c>
      <c r="G10">
        <v>836</v>
      </c>
      <c r="H10">
        <v>836</v>
      </c>
      <c r="I10" s="8">
        <v>44703</v>
      </c>
      <c r="K10" s="6" t="s">
        <v>74</v>
      </c>
    </row>
    <row r="11" spans="1:13" x14ac:dyDescent="0.3">
      <c r="A11" s="12" t="s">
        <v>45</v>
      </c>
      <c r="B11" t="s">
        <v>21</v>
      </c>
      <c r="C11" t="s">
        <v>22</v>
      </c>
      <c r="D11" t="s">
        <v>17</v>
      </c>
      <c r="E11" t="s">
        <v>18</v>
      </c>
      <c r="F11" t="s">
        <v>19</v>
      </c>
      <c r="G11">
        <v>24.12</v>
      </c>
      <c r="H11">
        <v>24.12</v>
      </c>
      <c r="I11" s="8">
        <v>45625</v>
      </c>
      <c r="K11" s="6" t="s">
        <v>75</v>
      </c>
    </row>
    <row r="12" spans="1:13" x14ac:dyDescent="0.3">
      <c r="A12" t="s">
        <v>46</v>
      </c>
      <c r="B12" t="s">
        <v>35</v>
      </c>
      <c r="C12" t="s">
        <v>35</v>
      </c>
      <c r="D12" t="s">
        <v>11</v>
      </c>
      <c r="E12" t="s">
        <v>12</v>
      </c>
      <c r="F12" t="s">
        <v>19</v>
      </c>
      <c r="G12">
        <v>1514.19</v>
      </c>
      <c r="H12">
        <v>1514.19</v>
      </c>
      <c r="I12" s="8">
        <v>46021</v>
      </c>
    </row>
    <row r="13" spans="1:13" x14ac:dyDescent="0.3">
      <c r="A13" t="s">
        <v>47</v>
      </c>
      <c r="B13" t="s">
        <v>41</v>
      </c>
      <c r="C13" t="s">
        <v>42</v>
      </c>
      <c r="D13" t="s">
        <v>48</v>
      </c>
      <c r="E13" t="s">
        <v>18</v>
      </c>
      <c r="F13" t="s">
        <v>19</v>
      </c>
      <c r="G13">
        <v>1113.46</v>
      </c>
      <c r="H13">
        <v>1113.46</v>
      </c>
      <c r="I13" s="8">
        <v>45582</v>
      </c>
    </row>
    <row r="14" spans="1:13" x14ac:dyDescent="0.3">
      <c r="A14" t="s">
        <v>49</v>
      </c>
      <c r="B14" t="s">
        <v>30</v>
      </c>
      <c r="C14" t="s">
        <v>31</v>
      </c>
      <c r="D14" t="s">
        <v>36</v>
      </c>
      <c r="E14" t="s">
        <v>50</v>
      </c>
      <c r="F14" t="s">
        <v>38</v>
      </c>
      <c r="G14">
        <v>6320.1</v>
      </c>
      <c r="H14">
        <v>884.81400000000019</v>
      </c>
      <c r="I14" s="8">
        <v>45983</v>
      </c>
    </row>
    <row r="15" spans="1:13" x14ac:dyDescent="0.3">
      <c r="A15" t="s">
        <v>51</v>
      </c>
      <c r="B15" t="s">
        <v>41</v>
      </c>
      <c r="C15" t="s">
        <v>42</v>
      </c>
      <c r="D15" t="s">
        <v>48</v>
      </c>
      <c r="E15" t="s">
        <v>18</v>
      </c>
      <c r="F15" t="s">
        <v>19</v>
      </c>
      <c r="G15">
        <v>1597.27</v>
      </c>
      <c r="H15">
        <v>1597.27</v>
      </c>
      <c r="I15" s="8">
        <v>45515</v>
      </c>
    </row>
    <row r="16" spans="1:13" x14ac:dyDescent="0.3">
      <c r="A16" t="s">
        <v>52</v>
      </c>
      <c r="B16" t="s">
        <v>9</v>
      </c>
      <c r="C16" t="s">
        <v>10</v>
      </c>
      <c r="D16" t="s">
        <v>53</v>
      </c>
      <c r="E16" t="s">
        <v>18</v>
      </c>
      <c r="F16" t="s">
        <v>19</v>
      </c>
      <c r="G16">
        <v>802.33</v>
      </c>
      <c r="H16">
        <v>802.33</v>
      </c>
      <c r="I16" s="8">
        <v>45852</v>
      </c>
    </row>
    <row r="17" spans="1:9" x14ac:dyDescent="0.3">
      <c r="A17" t="s">
        <v>54</v>
      </c>
      <c r="B17" t="s">
        <v>55</v>
      </c>
      <c r="C17" t="s">
        <v>56</v>
      </c>
      <c r="D17" t="s">
        <v>32</v>
      </c>
      <c r="E17" t="s">
        <v>18</v>
      </c>
      <c r="F17" t="s">
        <v>19</v>
      </c>
      <c r="G17">
        <v>911.22</v>
      </c>
      <c r="H17">
        <v>911.22</v>
      </c>
      <c r="I17" s="8">
        <v>45341</v>
      </c>
    </row>
    <row r="18" spans="1:9" x14ac:dyDescent="0.3">
      <c r="A18" t="s">
        <v>57</v>
      </c>
      <c r="B18" t="s">
        <v>35</v>
      </c>
      <c r="C18" t="s">
        <v>35</v>
      </c>
      <c r="D18" t="s">
        <v>48</v>
      </c>
      <c r="E18" t="s">
        <v>18</v>
      </c>
      <c r="F18" t="s">
        <v>19</v>
      </c>
      <c r="G18">
        <v>2581.61</v>
      </c>
      <c r="H18">
        <v>2581.61</v>
      </c>
      <c r="I18" s="8">
        <v>45187</v>
      </c>
    </row>
    <row r="19" spans="1:9" x14ac:dyDescent="0.3">
      <c r="A19" t="s">
        <v>58</v>
      </c>
      <c r="B19" t="s">
        <v>59</v>
      </c>
      <c r="C19" t="s">
        <v>60</v>
      </c>
      <c r="D19" t="s">
        <v>32</v>
      </c>
      <c r="E19" t="s">
        <v>18</v>
      </c>
      <c r="F19" t="s">
        <v>19</v>
      </c>
      <c r="G19">
        <v>3732.24</v>
      </c>
      <c r="H19">
        <v>3732.24</v>
      </c>
      <c r="I19" s="8">
        <v>45303</v>
      </c>
    </row>
    <row r="20" spans="1:9" x14ac:dyDescent="0.3">
      <c r="A20" t="s">
        <v>61</v>
      </c>
      <c r="B20" t="s">
        <v>62</v>
      </c>
      <c r="C20" t="s">
        <v>63</v>
      </c>
      <c r="D20" t="s">
        <v>11</v>
      </c>
      <c r="E20" t="s">
        <v>26</v>
      </c>
      <c r="F20" t="s">
        <v>64</v>
      </c>
      <c r="G20">
        <v>385.87</v>
      </c>
      <c r="H20">
        <v>490.05490000000003</v>
      </c>
      <c r="I20" s="8">
        <v>45956</v>
      </c>
    </row>
    <row r="21" spans="1:9" x14ac:dyDescent="0.3">
      <c r="A21" t="s">
        <v>65</v>
      </c>
      <c r="B21" t="s">
        <v>62</v>
      </c>
      <c r="C21" t="s">
        <v>63</v>
      </c>
      <c r="D21" t="s">
        <v>36</v>
      </c>
      <c r="E21" t="s">
        <v>37</v>
      </c>
      <c r="F21" t="s">
        <v>19</v>
      </c>
      <c r="G21">
        <v>3931.9</v>
      </c>
      <c r="H21">
        <v>3931.9</v>
      </c>
      <c r="I21" s="8">
        <v>44940</v>
      </c>
    </row>
    <row r="26" spans="1:9" x14ac:dyDescent="0.3">
      <c r="E26" t="str" cm="1">
        <f t="array" ref="E26:E29">_xlfn.UNIQUE(F2:F21)</f>
        <v>EUR</v>
      </c>
      <c r="G26" t="str" cm="1">
        <f t="array" ref="G26:G35">_xlfn.UNIQUE(C2:C21)</f>
        <v>UK</v>
      </c>
    </row>
    <row r="27" spans="1:9" x14ac:dyDescent="0.3">
      <c r="E27" t="str">
        <v>USD</v>
      </c>
      <c r="G27" t="str">
        <v>Japan</v>
      </c>
    </row>
    <row r="28" spans="1:9" x14ac:dyDescent="0.3">
      <c r="E28" t="str">
        <v>CNY</v>
      </c>
      <c r="G28" t="str">
        <v>Canada</v>
      </c>
    </row>
    <row r="29" spans="1:9" x14ac:dyDescent="0.3">
      <c r="E29" t="str">
        <v>GBP</v>
      </c>
      <c r="G29" t="str">
        <v>USA</v>
      </c>
    </row>
    <row r="30" spans="1:9" x14ac:dyDescent="0.3">
      <c r="G30" t="str">
        <v>Australia</v>
      </c>
    </row>
    <row r="31" spans="1:9" x14ac:dyDescent="0.3">
      <c r="G31" t="str">
        <v>Singapore</v>
      </c>
    </row>
    <row r="32" spans="1:9" x14ac:dyDescent="0.3">
      <c r="G32" t="str">
        <v>Germany</v>
      </c>
    </row>
    <row r="33" spans="7:7" x14ac:dyDescent="0.3">
      <c r="G33" t="str">
        <v>UAE</v>
      </c>
    </row>
    <row r="34" spans="7:7" x14ac:dyDescent="0.3">
      <c r="G34" t="str">
        <v>India</v>
      </c>
    </row>
    <row r="35" spans="7:7" x14ac:dyDescent="0.3">
      <c r="G35" t="str">
        <v>China</v>
      </c>
    </row>
  </sheetData>
  <autoFilter ref="A1:I21" xr:uid="{F82C7563-D63C-4FD5-85BC-8CE2E2835D6B}"/>
  <dataValidations count="1">
    <dataValidation type="list" allowBlank="1" showInputMessage="1" showErrorMessage="1" sqref="M2:M21" xr:uid="{08FBAB51-184D-4D7E-BC1D-8CD15B37C540}">
      <formula1>$E$26:$E$29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6C7E-EC97-442A-A955-5F0352A1F43F}">
  <dimension ref="A1:G438"/>
  <sheetViews>
    <sheetView workbookViewId="0">
      <selection activeCell="F430" sqref="F430"/>
    </sheetView>
  </sheetViews>
  <sheetFormatPr defaultRowHeight="15.6" x14ac:dyDescent="0.3"/>
  <cols>
    <col min="1" max="1" width="17.8984375" bestFit="1" customWidth="1"/>
    <col min="2" max="2" width="9.3984375" bestFit="1" customWidth="1"/>
    <col min="4" max="4" width="14.69921875" bestFit="1" customWidth="1"/>
    <col min="5" max="5" width="12.296875" bestFit="1" customWidth="1"/>
    <col min="6" max="6" width="8.69921875" bestFit="1" customWidth="1"/>
    <col min="7" max="7" width="8.8984375" bestFit="1" customWidth="1"/>
  </cols>
  <sheetData>
    <row r="1" spans="1:7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955.8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12.41</v>
      </c>
    </row>
    <row r="4" spans="1:7" x14ac:dyDescent="0.3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19</v>
      </c>
      <c r="G4">
        <v>1842.59</v>
      </c>
    </row>
    <row r="5" spans="1:7" x14ac:dyDescent="0.3">
      <c r="A5" t="s">
        <v>23</v>
      </c>
      <c r="B5" t="s">
        <v>24</v>
      </c>
      <c r="C5" t="s">
        <v>25</v>
      </c>
      <c r="D5" t="s">
        <v>11</v>
      </c>
      <c r="E5" t="s">
        <v>26</v>
      </c>
      <c r="F5" t="s">
        <v>13</v>
      </c>
      <c r="G5">
        <v>522.01</v>
      </c>
    </row>
    <row r="6" spans="1:7" x14ac:dyDescent="0.3">
      <c r="A6" t="s">
        <v>27</v>
      </c>
      <c r="B6" t="s">
        <v>24</v>
      </c>
      <c r="C6" t="s">
        <v>25</v>
      </c>
      <c r="D6" t="s">
        <v>11</v>
      </c>
      <c r="E6" t="s">
        <v>28</v>
      </c>
      <c r="F6" t="s">
        <v>19</v>
      </c>
      <c r="G6">
        <v>874.91</v>
      </c>
    </row>
    <row r="7" spans="1:7" x14ac:dyDescent="0.3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19</v>
      </c>
      <c r="G7">
        <v>4131.9399999999996</v>
      </c>
    </row>
    <row r="8" spans="1:7" x14ac:dyDescent="0.3">
      <c r="A8" t="s">
        <v>34</v>
      </c>
      <c r="B8" t="s">
        <v>35</v>
      </c>
      <c r="C8" t="s">
        <v>35</v>
      </c>
      <c r="D8" t="s">
        <v>36</v>
      </c>
      <c r="E8" t="s">
        <v>37</v>
      </c>
      <c r="F8" t="s">
        <v>38</v>
      </c>
      <c r="G8">
        <v>10999.85</v>
      </c>
    </row>
    <row r="9" spans="1:7" x14ac:dyDescent="0.3">
      <c r="A9" t="s">
        <v>39</v>
      </c>
      <c r="B9" t="s">
        <v>24</v>
      </c>
      <c r="C9" t="s">
        <v>25</v>
      </c>
      <c r="D9" t="s">
        <v>36</v>
      </c>
      <c r="E9" t="s">
        <v>37</v>
      </c>
      <c r="F9" t="s">
        <v>38</v>
      </c>
      <c r="G9">
        <v>4276.34</v>
      </c>
    </row>
    <row r="10" spans="1:7" x14ac:dyDescent="0.3">
      <c r="A10" t="s">
        <v>40</v>
      </c>
      <c r="B10" t="s">
        <v>41</v>
      </c>
      <c r="C10" t="s">
        <v>42</v>
      </c>
      <c r="D10" t="s">
        <v>32</v>
      </c>
      <c r="E10" t="s">
        <v>43</v>
      </c>
      <c r="F10" t="s">
        <v>19</v>
      </c>
      <c r="G10">
        <v>3986.97</v>
      </c>
    </row>
    <row r="11" spans="1:7" x14ac:dyDescent="0.3">
      <c r="A11" t="s">
        <v>44</v>
      </c>
      <c r="B11" t="s">
        <v>21</v>
      </c>
      <c r="C11" t="s">
        <v>22</v>
      </c>
      <c r="D11" t="s">
        <v>32</v>
      </c>
      <c r="E11" t="s">
        <v>28</v>
      </c>
      <c r="F11" t="s">
        <v>19</v>
      </c>
      <c r="G11">
        <v>836</v>
      </c>
    </row>
    <row r="12" spans="1:7" x14ac:dyDescent="0.3">
      <c r="A12" t="s">
        <v>45</v>
      </c>
      <c r="B12" t="s">
        <v>21</v>
      </c>
      <c r="C12" t="s">
        <v>22</v>
      </c>
      <c r="D12" t="s">
        <v>17</v>
      </c>
      <c r="E12" t="s">
        <v>18</v>
      </c>
      <c r="F12" t="s">
        <v>19</v>
      </c>
      <c r="G12">
        <v>24.12</v>
      </c>
    </row>
    <row r="13" spans="1:7" x14ac:dyDescent="0.3">
      <c r="A13" t="s">
        <v>46</v>
      </c>
      <c r="B13" t="s">
        <v>35</v>
      </c>
      <c r="C13" t="s">
        <v>35</v>
      </c>
      <c r="D13" t="s">
        <v>11</v>
      </c>
      <c r="E13" t="s">
        <v>12</v>
      </c>
      <c r="F13" t="s">
        <v>19</v>
      </c>
      <c r="G13">
        <v>1514.19</v>
      </c>
    </row>
    <row r="14" spans="1:7" x14ac:dyDescent="0.3">
      <c r="A14" t="s">
        <v>47</v>
      </c>
      <c r="B14" t="s">
        <v>41</v>
      </c>
      <c r="C14" t="s">
        <v>42</v>
      </c>
      <c r="D14" t="s">
        <v>48</v>
      </c>
      <c r="E14" t="s">
        <v>18</v>
      </c>
      <c r="F14" t="s">
        <v>19</v>
      </c>
      <c r="G14">
        <v>1113.46</v>
      </c>
    </row>
    <row r="15" spans="1:7" x14ac:dyDescent="0.3">
      <c r="A15" t="s">
        <v>49</v>
      </c>
      <c r="B15" t="s">
        <v>30</v>
      </c>
      <c r="C15" t="s">
        <v>31</v>
      </c>
      <c r="D15" t="s">
        <v>36</v>
      </c>
      <c r="E15" t="s">
        <v>50</v>
      </c>
      <c r="F15" t="s">
        <v>38</v>
      </c>
      <c r="G15">
        <v>6320.1</v>
      </c>
    </row>
    <row r="16" spans="1:7" x14ac:dyDescent="0.3">
      <c r="A16" t="s">
        <v>51</v>
      </c>
      <c r="B16" t="s">
        <v>41</v>
      </c>
      <c r="C16" t="s">
        <v>42</v>
      </c>
      <c r="D16" t="s">
        <v>48</v>
      </c>
      <c r="E16" t="s">
        <v>18</v>
      </c>
      <c r="F16" t="s">
        <v>19</v>
      </c>
      <c r="G16">
        <v>1597.27</v>
      </c>
    </row>
    <row r="17" spans="1:7" x14ac:dyDescent="0.3">
      <c r="A17" t="s">
        <v>52</v>
      </c>
      <c r="B17" t="s">
        <v>9</v>
      </c>
      <c r="C17" t="s">
        <v>10</v>
      </c>
      <c r="D17" t="s">
        <v>53</v>
      </c>
      <c r="E17" t="s">
        <v>18</v>
      </c>
      <c r="F17" t="s">
        <v>19</v>
      </c>
      <c r="G17">
        <v>80002.33</v>
      </c>
    </row>
    <row r="18" spans="1:7" x14ac:dyDescent="0.3">
      <c r="A18" t="s">
        <v>54</v>
      </c>
      <c r="B18" t="s">
        <v>55</v>
      </c>
      <c r="C18" t="s">
        <v>56</v>
      </c>
      <c r="D18" t="s">
        <v>32</v>
      </c>
      <c r="E18" t="s">
        <v>18</v>
      </c>
      <c r="F18" t="s">
        <v>19</v>
      </c>
      <c r="G18">
        <v>911.22</v>
      </c>
    </row>
    <row r="19" spans="1:7" x14ac:dyDescent="0.3">
      <c r="A19" t="s">
        <v>57</v>
      </c>
      <c r="B19" t="s">
        <v>35</v>
      </c>
      <c r="C19" t="s">
        <v>35</v>
      </c>
      <c r="D19" t="s">
        <v>48</v>
      </c>
      <c r="E19" t="s">
        <v>18</v>
      </c>
      <c r="F19" t="s">
        <v>19</v>
      </c>
      <c r="G19">
        <v>2581.61</v>
      </c>
    </row>
    <row r="20" spans="1:7" x14ac:dyDescent="0.3">
      <c r="A20" t="s">
        <v>58</v>
      </c>
      <c r="B20" t="s">
        <v>59</v>
      </c>
      <c r="C20" t="s">
        <v>60</v>
      </c>
      <c r="D20" t="s">
        <v>32</v>
      </c>
      <c r="E20" t="s">
        <v>18</v>
      </c>
      <c r="F20" t="s">
        <v>19</v>
      </c>
      <c r="G20">
        <v>3732.24</v>
      </c>
    </row>
    <row r="21" spans="1:7" x14ac:dyDescent="0.3">
      <c r="A21" t="s">
        <v>61</v>
      </c>
      <c r="B21" t="s">
        <v>62</v>
      </c>
      <c r="C21" t="s">
        <v>63</v>
      </c>
      <c r="D21" t="s">
        <v>11</v>
      </c>
      <c r="E21" t="s">
        <v>26</v>
      </c>
      <c r="F21" t="s">
        <v>64</v>
      </c>
      <c r="G21">
        <v>385.87</v>
      </c>
    </row>
    <row r="22" spans="1:7" x14ac:dyDescent="0.3">
      <c r="A22" t="s">
        <v>65</v>
      </c>
      <c r="B22" t="s">
        <v>62</v>
      </c>
      <c r="C22" t="s">
        <v>63</v>
      </c>
      <c r="D22" t="s">
        <v>36</v>
      </c>
      <c r="E22" t="s">
        <v>37</v>
      </c>
      <c r="F22" t="s">
        <v>19</v>
      </c>
      <c r="G22">
        <v>3931.9</v>
      </c>
    </row>
    <row r="23" spans="1:7" x14ac:dyDescent="0.3">
      <c r="A23" t="s">
        <v>27</v>
      </c>
      <c r="B23" t="s">
        <v>24</v>
      </c>
      <c r="C23" t="s">
        <v>25</v>
      </c>
      <c r="D23" t="s">
        <v>32</v>
      </c>
      <c r="E23" t="s">
        <v>93</v>
      </c>
      <c r="F23" t="s">
        <v>38</v>
      </c>
      <c r="G23">
        <v>2655.88</v>
      </c>
    </row>
    <row r="24" spans="1:7" x14ac:dyDescent="0.3">
      <c r="A24" t="s">
        <v>94</v>
      </c>
      <c r="B24" t="s">
        <v>62</v>
      </c>
      <c r="C24" t="s">
        <v>63</v>
      </c>
      <c r="D24" t="s">
        <v>17</v>
      </c>
      <c r="E24" t="s">
        <v>18</v>
      </c>
      <c r="F24" t="s">
        <v>13</v>
      </c>
      <c r="G24">
        <v>19.21</v>
      </c>
    </row>
    <row r="25" spans="1:7" x14ac:dyDescent="0.3">
      <c r="A25" t="s">
        <v>95</v>
      </c>
      <c r="B25" t="s">
        <v>21</v>
      </c>
      <c r="C25" t="s">
        <v>22</v>
      </c>
      <c r="D25" t="s">
        <v>36</v>
      </c>
      <c r="E25" t="s">
        <v>50</v>
      </c>
      <c r="F25" t="s">
        <v>13</v>
      </c>
      <c r="G25">
        <v>10956.22</v>
      </c>
    </row>
    <row r="26" spans="1:7" x14ac:dyDescent="0.3">
      <c r="A26" t="s">
        <v>96</v>
      </c>
      <c r="B26" t="s">
        <v>62</v>
      </c>
      <c r="C26" t="s">
        <v>63</v>
      </c>
      <c r="D26" t="s">
        <v>48</v>
      </c>
      <c r="E26" t="s">
        <v>18</v>
      </c>
      <c r="F26" t="s">
        <v>38</v>
      </c>
      <c r="G26">
        <v>1965.55</v>
      </c>
    </row>
    <row r="27" spans="1:7" x14ac:dyDescent="0.3">
      <c r="A27" t="s">
        <v>97</v>
      </c>
      <c r="B27" t="s">
        <v>21</v>
      </c>
      <c r="C27" t="s">
        <v>22</v>
      </c>
      <c r="D27" t="s">
        <v>17</v>
      </c>
      <c r="E27" t="s">
        <v>18</v>
      </c>
      <c r="F27" t="s">
        <v>19</v>
      </c>
      <c r="G27">
        <v>8.57</v>
      </c>
    </row>
    <row r="28" spans="1:7" x14ac:dyDescent="0.3">
      <c r="A28" t="s">
        <v>98</v>
      </c>
      <c r="B28" t="s">
        <v>62</v>
      </c>
      <c r="C28" t="s">
        <v>63</v>
      </c>
      <c r="D28" t="s">
        <v>17</v>
      </c>
      <c r="E28" t="s">
        <v>18</v>
      </c>
      <c r="F28" t="s">
        <v>13</v>
      </c>
      <c r="G28">
        <v>46.18</v>
      </c>
    </row>
    <row r="29" spans="1:7" x14ac:dyDescent="0.3">
      <c r="A29" t="s">
        <v>99</v>
      </c>
      <c r="B29" t="s">
        <v>35</v>
      </c>
      <c r="C29" t="s">
        <v>35</v>
      </c>
      <c r="D29" t="s">
        <v>36</v>
      </c>
      <c r="E29" t="s">
        <v>50</v>
      </c>
      <c r="F29" t="s">
        <v>100</v>
      </c>
      <c r="G29">
        <v>1412.5</v>
      </c>
    </row>
    <row r="30" spans="1:7" x14ac:dyDescent="0.3">
      <c r="A30" t="s">
        <v>101</v>
      </c>
      <c r="B30" t="s">
        <v>9</v>
      </c>
      <c r="C30" t="s">
        <v>10</v>
      </c>
      <c r="D30" t="s">
        <v>36</v>
      </c>
      <c r="E30" t="s">
        <v>37</v>
      </c>
      <c r="F30" t="s">
        <v>19</v>
      </c>
      <c r="G30">
        <v>5892.85</v>
      </c>
    </row>
    <row r="31" spans="1:7" x14ac:dyDescent="0.3">
      <c r="A31" t="s">
        <v>102</v>
      </c>
      <c r="B31" t="s">
        <v>9</v>
      </c>
      <c r="C31" t="s">
        <v>10</v>
      </c>
      <c r="D31" t="s">
        <v>32</v>
      </c>
      <c r="E31" t="s">
        <v>103</v>
      </c>
      <c r="F31" t="s">
        <v>100</v>
      </c>
      <c r="G31">
        <v>3368.1</v>
      </c>
    </row>
    <row r="32" spans="1:7" x14ac:dyDescent="0.3">
      <c r="A32" t="s">
        <v>104</v>
      </c>
      <c r="B32" t="s">
        <v>35</v>
      </c>
      <c r="C32" t="s">
        <v>35</v>
      </c>
      <c r="D32" t="s">
        <v>50</v>
      </c>
      <c r="E32" t="s">
        <v>50</v>
      </c>
      <c r="F32" t="s">
        <v>19</v>
      </c>
      <c r="G32">
        <v>3269.89</v>
      </c>
    </row>
    <row r="33" spans="1:7" x14ac:dyDescent="0.3">
      <c r="A33" t="s">
        <v>105</v>
      </c>
      <c r="B33" t="s">
        <v>41</v>
      </c>
      <c r="C33" t="s">
        <v>42</v>
      </c>
      <c r="D33" t="s">
        <v>32</v>
      </c>
      <c r="E33" t="s">
        <v>28</v>
      </c>
      <c r="F33" t="s">
        <v>13</v>
      </c>
      <c r="G33">
        <v>2124.86</v>
      </c>
    </row>
    <row r="34" spans="1:7" x14ac:dyDescent="0.3">
      <c r="A34" t="s">
        <v>8</v>
      </c>
      <c r="B34" t="s">
        <v>9</v>
      </c>
      <c r="C34" t="s">
        <v>10</v>
      </c>
      <c r="D34" t="s">
        <v>50</v>
      </c>
      <c r="E34" t="s">
        <v>50</v>
      </c>
      <c r="F34" t="s">
        <v>64</v>
      </c>
      <c r="G34">
        <v>12553.4</v>
      </c>
    </row>
    <row r="35" spans="1:7" x14ac:dyDescent="0.3">
      <c r="A35" t="s">
        <v>106</v>
      </c>
      <c r="B35" t="s">
        <v>24</v>
      </c>
      <c r="C35" t="s">
        <v>25</v>
      </c>
      <c r="D35" t="s">
        <v>11</v>
      </c>
      <c r="E35" t="s">
        <v>26</v>
      </c>
      <c r="F35" t="s">
        <v>19</v>
      </c>
      <c r="G35">
        <v>271.05</v>
      </c>
    </row>
    <row r="36" spans="1:7" x14ac:dyDescent="0.3">
      <c r="A36" t="s">
        <v>107</v>
      </c>
      <c r="B36" t="s">
        <v>24</v>
      </c>
      <c r="C36" t="s">
        <v>25</v>
      </c>
      <c r="D36" t="s">
        <v>32</v>
      </c>
      <c r="E36" t="s">
        <v>108</v>
      </c>
      <c r="F36" t="s">
        <v>13</v>
      </c>
      <c r="G36">
        <v>4047.25</v>
      </c>
    </row>
    <row r="37" spans="1:7" x14ac:dyDescent="0.3">
      <c r="A37" t="s">
        <v>109</v>
      </c>
      <c r="B37" t="s">
        <v>41</v>
      </c>
      <c r="C37" t="s">
        <v>42</v>
      </c>
      <c r="D37" t="s">
        <v>32</v>
      </c>
      <c r="E37" t="s">
        <v>103</v>
      </c>
      <c r="F37" t="s">
        <v>100</v>
      </c>
      <c r="G37">
        <v>3029.9</v>
      </c>
    </row>
    <row r="38" spans="1:7" x14ac:dyDescent="0.3">
      <c r="A38" t="s">
        <v>110</v>
      </c>
      <c r="B38" t="s">
        <v>62</v>
      </c>
      <c r="C38" t="s">
        <v>63</v>
      </c>
      <c r="D38" t="s">
        <v>48</v>
      </c>
      <c r="E38" t="s">
        <v>18</v>
      </c>
      <c r="F38" t="s">
        <v>13</v>
      </c>
      <c r="G38">
        <v>4589.84</v>
      </c>
    </row>
    <row r="39" spans="1:7" x14ac:dyDescent="0.3">
      <c r="A39" t="s">
        <v>46</v>
      </c>
      <c r="B39" t="s">
        <v>35</v>
      </c>
      <c r="C39" t="s">
        <v>35</v>
      </c>
      <c r="D39" t="s">
        <v>11</v>
      </c>
      <c r="E39" t="s">
        <v>28</v>
      </c>
      <c r="F39" t="s">
        <v>13</v>
      </c>
      <c r="G39">
        <v>1847.97</v>
      </c>
    </row>
    <row r="40" spans="1:7" x14ac:dyDescent="0.3">
      <c r="A40" t="s">
        <v>111</v>
      </c>
      <c r="B40" t="s">
        <v>24</v>
      </c>
      <c r="C40" t="s">
        <v>25</v>
      </c>
      <c r="D40" t="s">
        <v>32</v>
      </c>
      <c r="E40" t="s">
        <v>18</v>
      </c>
      <c r="F40" t="s">
        <v>13</v>
      </c>
      <c r="G40">
        <v>3336.94</v>
      </c>
    </row>
    <row r="41" spans="1:7" x14ac:dyDescent="0.3">
      <c r="A41" t="s">
        <v>52</v>
      </c>
      <c r="B41" t="s">
        <v>9</v>
      </c>
      <c r="C41" t="s">
        <v>10</v>
      </c>
      <c r="D41" t="s">
        <v>36</v>
      </c>
      <c r="E41" t="s">
        <v>50</v>
      </c>
      <c r="F41" t="s">
        <v>13</v>
      </c>
      <c r="G41">
        <v>6679.86</v>
      </c>
    </row>
    <row r="42" spans="1:7" x14ac:dyDescent="0.3">
      <c r="A42" t="s">
        <v>52</v>
      </c>
      <c r="B42" t="s">
        <v>9</v>
      </c>
      <c r="C42" t="s">
        <v>10</v>
      </c>
      <c r="D42" t="s">
        <v>32</v>
      </c>
      <c r="E42" t="s">
        <v>108</v>
      </c>
      <c r="F42" t="s">
        <v>100</v>
      </c>
      <c r="G42">
        <v>925.57</v>
      </c>
    </row>
    <row r="43" spans="1:7" x14ac:dyDescent="0.3">
      <c r="A43" t="s">
        <v>112</v>
      </c>
      <c r="B43" t="s">
        <v>15</v>
      </c>
      <c r="C43" t="s">
        <v>16</v>
      </c>
      <c r="D43" t="s">
        <v>17</v>
      </c>
      <c r="E43" t="s">
        <v>18</v>
      </c>
      <c r="F43" t="s">
        <v>19</v>
      </c>
      <c r="G43">
        <v>43.45</v>
      </c>
    </row>
    <row r="44" spans="1:7" x14ac:dyDescent="0.3">
      <c r="A44" t="s">
        <v>61</v>
      </c>
      <c r="B44" t="s">
        <v>62</v>
      </c>
      <c r="C44" t="s">
        <v>63</v>
      </c>
      <c r="D44" t="s">
        <v>11</v>
      </c>
      <c r="E44" t="s">
        <v>12</v>
      </c>
      <c r="F44" t="s">
        <v>64</v>
      </c>
      <c r="G44">
        <v>1650.58</v>
      </c>
    </row>
    <row r="45" spans="1:7" x14ac:dyDescent="0.3">
      <c r="A45" t="s">
        <v>113</v>
      </c>
      <c r="B45" t="s">
        <v>9</v>
      </c>
      <c r="C45" t="s">
        <v>10</v>
      </c>
      <c r="D45" t="s">
        <v>11</v>
      </c>
      <c r="E45" t="s">
        <v>114</v>
      </c>
      <c r="F45" t="s">
        <v>38</v>
      </c>
      <c r="G45">
        <v>806.77</v>
      </c>
    </row>
    <row r="46" spans="1:7" x14ac:dyDescent="0.3">
      <c r="A46" t="s">
        <v>115</v>
      </c>
      <c r="B46" t="s">
        <v>9</v>
      </c>
      <c r="C46" t="s">
        <v>10</v>
      </c>
      <c r="D46" t="s">
        <v>48</v>
      </c>
      <c r="E46" t="s">
        <v>18</v>
      </c>
      <c r="F46" t="s">
        <v>19</v>
      </c>
      <c r="G46">
        <v>4965.09</v>
      </c>
    </row>
    <row r="47" spans="1:7" x14ac:dyDescent="0.3">
      <c r="A47" t="s">
        <v>116</v>
      </c>
      <c r="B47" t="s">
        <v>59</v>
      </c>
      <c r="C47" t="s">
        <v>60</v>
      </c>
      <c r="D47" t="s">
        <v>17</v>
      </c>
      <c r="E47" t="s">
        <v>18</v>
      </c>
      <c r="F47" t="s">
        <v>19</v>
      </c>
      <c r="G47">
        <v>12.83</v>
      </c>
    </row>
    <row r="48" spans="1:7" x14ac:dyDescent="0.3">
      <c r="A48" t="s">
        <v>117</v>
      </c>
      <c r="B48" t="s">
        <v>24</v>
      </c>
      <c r="C48" t="s">
        <v>25</v>
      </c>
      <c r="D48" t="s">
        <v>11</v>
      </c>
      <c r="E48" t="s">
        <v>118</v>
      </c>
      <c r="F48" t="s">
        <v>19</v>
      </c>
      <c r="G48">
        <v>1648.7</v>
      </c>
    </row>
    <row r="49" spans="1:7" x14ac:dyDescent="0.3">
      <c r="A49" t="s">
        <v>119</v>
      </c>
      <c r="B49" t="s">
        <v>30</v>
      </c>
      <c r="C49" t="s">
        <v>31</v>
      </c>
      <c r="D49" t="s">
        <v>11</v>
      </c>
      <c r="E49" t="s">
        <v>18</v>
      </c>
      <c r="F49" t="s">
        <v>19</v>
      </c>
      <c r="G49">
        <v>380.5</v>
      </c>
    </row>
    <row r="50" spans="1:7" x14ac:dyDescent="0.3">
      <c r="A50" t="s">
        <v>120</v>
      </c>
      <c r="B50" t="s">
        <v>55</v>
      </c>
      <c r="C50" t="s">
        <v>56</v>
      </c>
      <c r="D50" t="s">
        <v>48</v>
      </c>
      <c r="E50" t="s">
        <v>18</v>
      </c>
      <c r="F50" t="s">
        <v>38</v>
      </c>
      <c r="G50">
        <v>404.11</v>
      </c>
    </row>
    <row r="51" spans="1:7" x14ac:dyDescent="0.3">
      <c r="A51" t="s">
        <v>121</v>
      </c>
      <c r="B51" t="s">
        <v>24</v>
      </c>
      <c r="C51" t="s">
        <v>25</v>
      </c>
      <c r="D51" t="s">
        <v>36</v>
      </c>
      <c r="E51" t="s">
        <v>18</v>
      </c>
      <c r="F51" t="s">
        <v>19</v>
      </c>
      <c r="G51">
        <v>2889.27</v>
      </c>
    </row>
    <row r="52" spans="1:7" x14ac:dyDescent="0.3">
      <c r="A52" t="s">
        <v>122</v>
      </c>
      <c r="B52" t="s">
        <v>21</v>
      </c>
      <c r="C52" t="s">
        <v>22</v>
      </c>
      <c r="D52" t="s">
        <v>48</v>
      </c>
      <c r="E52" t="s">
        <v>18</v>
      </c>
      <c r="F52" t="s">
        <v>19</v>
      </c>
      <c r="G52">
        <v>1652.13</v>
      </c>
    </row>
    <row r="53" spans="1:7" x14ac:dyDescent="0.3">
      <c r="A53" t="s">
        <v>123</v>
      </c>
      <c r="B53" t="s">
        <v>24</v>
      </c>
      <c r="C53" t="s">
        <v>25</v>
      </c>
      <c r="D53" t="s">
        <v>11</v>
      </c>
      <c r="E53" t="s">
        <v>114</v>
      </c>
      <c r="F53" t="s">
        <v>19</v>
      </c>
      <c r="G53">
        <v>1552.42</v>
      </c>
    </row>
    <row r="54" spans="1:7" x14ac:dyDescent="0.3">
      <c r="A54" t="s">
        <v>124</v>
      </c>
      <c r="B54" t="s">
        <v>62</v>
      </c>
      <c r="C54" t="s">
        <v>63</v>
      </c>
      <c r="D54" t="s">
        <v>11</v>
      </c>
      <c r="E54" t="s">
        <v>118</v>
      </c>
      <c r="F54" t="s">
        <v>64</v>
      </c>
      <c r="G54">
        <v>1919.92</v>
      </c>
    </row>
    <row r="55" spans="1:7" x14ac:dyDescent="0.3">
      <c r="A55" t="s">
        <v>47</v>
      </c>
      <c r="B55" t="s">
        <v>41</v>
      </c>
      <c r="C55" t="s">
        <v>42</v>
      </c>
      <c r="D55" t="s">
        <v>48</v>
      </c>
      <c r="E55" t="s">
        <v>18</v>
      </c>
      <c r="F55" t="s">
        <v>100</v>
      </c>
      <c r="G55">
        <v>9748.2199999999993</v>
      </c>
    </row>
    <row r="56" spans="1:7" x14ac:dyDescent="0.3">
      <c r="A56" t="s">
        <v>61</v>
      </c>
      <c r="B56" t="s">
        <v>62</v>
      </c>
      <c r="C56" t="s">
        <v>63</v>
      </c>
      <c r="D56" t="s">
        <v>48</v>
      </c>
      <c r="E56" t="s">
        <v>18</v>
      </c>
      <c r="F56" t="s">
        <v>100</v>
      </c>
      <c r="G56">
        <v>9822.49</v>
      </c>
    </row>
    <row r="57" spans="1:7" x14ac:dyDescent="0.3">
      <c r="A57" t="s">
        <v>125</v>
      </c>
      <c r="B57" t="s">
        <v>21</v>
      </c>
      <c r="C57" t="s">
        <v>22</v>
      </c>
      <c r="D57" t="s">
        <v>11</v>
      </c>
      <c r="E57" t="s">
        <v>28</v>
      </c>
      <c r="F57" t="s">
        <v>19</v>
      </c>
      <c r="G57">
        <v>888.44</v>
      </c>
    </row>
    <row r="58" spans="1:7" x14ac:dyDescent="0.3">
      <c r="A58" t="s">
        <v>126</v>
      </c>
      <c r="B58" t="s">
        <v>55</v>
      </c>
      <c r="C58" t="s">
        <v>56</v>
      </c>
      <c r="D58" t="s">
        <v>17</v>
      </c>
      <c r="E58" t="s">
        <v>18</v>
      </c>
      <c r="F58" t="s">
        <v>19</v>
      </c>
      <c r="G58">
        <v>41.59</v>
      </c>
    </row>
    <row r="59" spans="1:7" x14ac:dyDescent="0.3">
      <c r="A59" t="s">
        <v>127</v>
      </c>
      <c r="B59" t="s">
        <v>35</v>
      </c>
      <c r="C59" t="s">
        <v>35</v>
      </c>
      <c r="D59" t="s">
        <v>17</v>
      </c>
      <c r="E59" t="s">
        <v>18</v>
      </c>
      <c r="F59" t="s">
        <v>13</v>
      </c>
      <c r="G59">
        <v>39.18</v>
      </c>
    </row>
    <row r="60" spans="1:7" x14ac:dyDescent="0.3">
      <c r="A60" t="s">
        <v>128</v>
      </c>
      <c r="B60" t="s">
        <v>35</v>
      </c>
      <c r="C60" t="s">
        <v>35</v>
      </c>
      <c r="D60" t="s">
        <v>32</v>
      </c>
      <c r="E60" t="s">
        <v>108</v>
      </c>
      <c r="F60" t="s">
        <v>38</v>
      </c>
      <c r="G60">
        <v>4130.3</v>
      </c>
    </row>
    <row r="61" spans="1:7" x14ac:dyDescent="0.3">
      <c r="A61" t="s">
        <v>111</v>
      </c>
      <c r="B61" t="s">
        <v>24</v>
      </c>
      <c r="C61" t="s">
        <v>25</v>
      </c>
      <c r="D61" t="s">
        <v>53</v>
      </c>
      <c r="E61" t="s">
        <v>18</v>
      </c>
      <c r="F61" t="s">
        <v>13</v>
      </c>
      <c r="G61">
        <v>51579.94</v>
      </c>
    </row>
    <row r="62" spans="1:7" x14ac:dyDescent="0.3">
      <c r="A62" t="s">
        <v>129</v>
      </c>
      <c r="B62" t="s">
        <v>15</v>
      </c>
      <c r="C62" t="s">
        <v>16</v>
      </c>
      <c r="D62" t="s">
        <v>32</v>
      </c>
      <c r="E62" t="s">
        <v>103</v>
      </c>
      <c r="F62" t="s">
        <v>100</v>
      </c>
      <c r="G62">
        <v>4217.16</v>
      </c>
    </row>
    <row r="63" spans="1:7" x14ac:dyDescent="0.3">
      <c r="A63" t="s">
        <v>130</v>
      </c>
      <c r="B63" t="s">
        <v>41</v>
      </c>
      <c r="C63" t="s">
        <v>42</v>
      </c>
      <c r="D63" t="s">
        <v>50</v>
      </c>
      <c r="E63" t="s">
        <v>50</v>
      </c>
      <c r="F63" t="s">
        <v>19</v>
      </c>
      <c r="G63">
        <v>9843.32</v>
      </c>
    </row>
    <row r="64" spans="1:7" x14ac:dyDescent="0.3">
      <c r="A64" t="s">
        <v>131</v>
      </c>
      <c r="B64" t="s">
        <v>41</v>
      </c>
      <c r="C64" t="s">
        <v>42</v>
      </c>
      <c r="D64" t="s">
        <v>11</v>
      </c>
      <c r="E64" t="s">
        <v>114</v>
      </c>
      <c r="F64" t="s">
        <v>13</v>
      </c>
      <c r="G64">
        <v>490.23</v>
      </c>
    </row>
    <row r="65" spans="1:7" x14ac:dyDescent="0.3">
      <c r="A65" t="s">
        <v>132</v>
      </c>
      <c r="B65" t="s">
        <v>24</v>
      </c>
      <c r="C65" t="s">
        <v>25</v>
      </c>
      <c r="D65" t="s">
        <v>36</v>
      </c>
      <c r="E65" t="s">
        <v>37</v>
      </c>
      <c r="F65" t="s">
        <v>19</v>
      </c>
      <c r="G65">
        <v>11169.37</v>
      </c>
    </row>
    <row r="66" spans="1:7" x14ac:dyDescent="0.3">
      <c r="A66" t="s">
        <v>121</v>
      </c>
      <c r="B66" t="s">
        <v>24</v>
      </c>
      <c r="C66" t="s">
        <v>25</v>
      </c>
      <c r="D66" t="s">
        <v>53</v>
      </c>
      <c r="E66" t="s">
        <v>18</v>
      </c>
      <c r="F66" t="s">
        <v>38</v>
      </c>
      <c r="G66">
        <v>23731.87</v>
      </c>
    </row>
    <row r="67" spans="1:7" x14ac:dyDescent="0.3">
      <c r="A67" t="s">
        <v>133</v>
      </c>
      <c r="B67" t="s">
        <v>62</v>
      </c>
      <c r="C67" t="s">
        <v>63</v>
      </c>
      <c r="D67" t="s">
        <v>11</v>
      </c>
      <c r="E67" t="s">
        <v>26</v>
      </c>
      <c r="F67" t="s">
        <v>19</v>
      </c>
      <c r="G67">
        <v>1850.96</v>
      </c>
    </row>
    <row r="68" spans="1:7" x14ac:dyDescent="0.3">
      <c r="A68" t="s">
        <v>134</v>
      </c>
      <c r="B68" t="s">
        <v>35</v>
      </c>
      <c r="C68" t="s">
        <v>35</v>
      </c>
      <c r="D68" t="s">
        <v>11</v>
      </c>
      <c r="E68" t="s">
        <v>12</v>
      </c>
      <c r="F68" t="s">
        <v>19</v>
      </c>
      <c r="G68">
        <v>999.95</v>
      </c>
    </row>
    <row r="69" spans="1:7" x14ac:dyDescent="0.3">
      <c r="A69" t="s">
        <v>135</v>
      </c>
      <c r="B69" t="s">
        <v>30</v>
      </c>
      <c r="C69" t="s">
        <v>31</v>
      </c>
      <c r="D69" t="s">
        <v>48</v>
      </c>
      <c r="E69" t="s">
        <v>18</v>
      </c>
      <c r="F69" t="s">
        <v>13</v>
      </c>
      <c r="G69">
        <v>2078.31</v>
      </c>
    </row>
    <row r="70" spans="1:7" x14ac:dyDescent="0.3">
      <c r="A70" t="s">
        <v>136</v>
      </c>
      <c r="B70" t="s">
        <v>30</v>
      </c>
      <c r="C70" t="s">
        <v>31</v>
      </c>
      <c r="D70" t="s">
        <v>17</v>
      </c>
      <c r="E70" t="s">
        <v>18</v>
      </c>
      <c r="F70" t="s">
        <v>137</v>
      </c>
      <c r="G70">
        <v>28.77</v>
      </c>
    </row>
    <row r="71" spans="1:7" x14ac:dyDescent="0.3">
      <c r="A71" t="s">
        <v>138</v>
      </c>
      <c r="B71" t="s">
        <v>24</v>
      </c>
      <c r="C71" t="s">
        <v>25</v>
      </c>
      <c r="D71" t="s">
        <v>17</v>
      </c>
      <c r="E71" t="s">
        <v>18</v>
      </c>
      <c r="F71" t="s">
        <v>19</v>
      </c>
      <c r="G71">
        <v>25.08</v>
      </c>
    </row>
    <row r="72" spans="1:7" x14ac:dyDescent="0.3">
      <c r="A72" t="s">
        <v>44</v>
      </c>
      <c r="B72" t="s">
        <v>21</v>
      </c>
      <c r="C72" t="s">
        <v>22</v>
      </c>
      <c r="D72" t="s">
        <v>50</v>
      </c>
      <c r="E72" t="s">
        <v>50</v>
      </c>
      <c r="F72" t="s">
        <v>13</v>
      </c>
      <c r="G72">
        <v>34751.160000000003</v>
      </c>
    </row>
    <row r="73" spans="1:7" x14ac:dyDescent="0.3">
      <c r="A73" t="s">
        <v>139</v>
      </c>
      <c r="B73" t="s">
        <v>55</v>
      </c>
      <c r="C73" t="s">
        <v>56</v>
      </c>
      <c r="D73" t="s">
        <v>32</v>
      </c>
      <c r="E73" t="s">
        <v>28</v>
      </c>
      <c r="F73" t="s">
        <v>19</v>
      </c>
      <c r="G73">
        <v>1832.46</v>
      </c>
    </row>
    <row r="74" spans="1:7" x14ac:dyDescent="0.3">
      <c r="A74" t="s">
        <v>132</v>
      </c>
      <c r="B74" t="s">
        <v>24</v>
      </c>
      <c r="C74" t="s">
        <v>25</v>
      </c>
      <c r="D74" t="s">
        <v>32</v>
      </c>
      <c r="E74" t="s">
        <v>33</v>
      </c>
      <c r="F74" t="s">
        <v>137</v>
      </c>
      <c r="G74">
        <v>4860.5200000000004</v>
      </c>
    </row>
    <row r="75" spans="1:7" x14ac:dyDescent="0.3">
      <c r="A75" t="s">
        <v>140</v>
      </c>
      <c r="B75" t="s">
        <v>55</v>
      </c>
      <c r="C75" t="s">
        <v>56</v>
      </c>
      <c r="D75" t="s">
        <v>32</v>
      </c>
      <c r="E75" t="s">
        <v>108</v>
      </c>
      <c r="F75" t="s">
        <v>19</v>
      </c>
      <c r="G75">
        <v>3466.42</v>
      </c>
    </row>
    <row r="76" spans="1:7" x14ac:dyDescent="0.3">
      <c r="A76" t="s">
        <v>141</v>
      </c>
      <c r="B76" t="s">
        <v>30</v>
      </c>
      <c r="C76" t="s">
        <v>31</v>
      </c>
      <c r="D76" t="s">
        <v>36</v>
      </c>
      <c r="E76" t="s">
        <v>50</v>
      </c>
      <c r="F76" t="s">
        <v>13</v>
      </c>
      <c r="G76">
        <v>2793.28</v>
      </c>
    </row>
    <row r="77" spans="1:7" x14ac:dyDescent="0.3">
      <c r="A77" t="s">
        <v>142</v>
      </c>
      <c r="B77" t="s">
        <v>35</v>
      </c>
      <c r="C77" t="s">
        <v>35</v>
      </c>
      <c r="D77" t="s">
        <v>17</v>
      </c>
      <c r="E77" t="s">
        <v>18</v>
      </c>
      <c r="F77" t="s">
        <v>38</v>
      </c>
      <c r="G77">
        <v>28.91</v>
      </c>
    </row>
    <row r="78" spans="1:7" x14ac:dyDescent="0.3">
      <c r="A78" t="s">
        <v>143</v>
      </c>
      <c r="B78" t="s">
        <v>62</v>
      </c>
      <c r="C78" t="s">
        <v>63</v>
      </c>
      <c r="D78" t="s">
        <v>50</v>
      </c>
      <c r="E78" t="s">
        <v>50</v>
      </c>
      <c r="F78" t="s">
        <v>19</v>
      </c>
      <c r="G78">
        <v>34866.89</v>
      </c>
    </row>
    <row r="79" spans="1:7" x14ac:dyDescent="0.3">
      <c r="A79" t="s">
        <v>144</v>
      </c>
      <c r="B79" t="s">
        <v>30</v>
      </c>
      <c r="C79" t="s">
        <v>31</v>
      </c>
      <c r="D79" t="s">
        <v>32</v>
      </c>
      <c r="E79" t="s">
        <v>93</v>
      </c>
      <c r="F79" t="s">
        <v>100</v>
      </c>
      <c r="G79">
        <v>3476.75</v>
      </c>
    </row>
    <row r="80" spans="1:7" x14ac:dyDescent="0.3">
      <c r="A80" t="s">
        <v>8</v>
      </c>
      <c r="B80" t="s">
        <v>9</v>
      </c>
      <c r="C80" t="s">
        <v>10</v>
      </c>
      <c r="D80" t="s">
        <v>32</v>
      </c>
      <c r="E80" t="s">
        <v>33</v>
      </c>
      <c r="F80" t="s">
        <v>19</v>
      </c>
      <c r="G80">
        <v>3854.94</v>
      </c>
    </row>
    <row r="81" spans="1:7" x14ac:dyDescent="0.3">
      <c r="A81" t="s">
        <v>145</v>
      </c>
      <c r="B81" t="s">
        <v>55</v>
      </c>
      <c r="C81" t="s">
        <v>56</v>
      </c>
      <c r="D81" t="s">
        <v>17</v>
      </c>
      <c r="E81" t="s">
        <v>18</v>
      </c>
      <c r="F81" t="s">
        <v>13</v>
      </c>
      <c r="G81">
        <v>36.15</v>
      </c>
    </row>
    <row r="82" spans="1:7" x14ac:dyDescent="0.3">
      <c r="A82" t="s">
        <v>146</v>
      </c>
      <c r="B82" t="s">
        <v>62</v>
      </c>
      <c r="C82" t="s">
        <v>63</v>
      </c>
      <c r="D82" t="s">
        <v>11</v>
      </c>
      <c r="E82" t="s">
        <v>118</v>
      </c>
      <c r="F82" t="s">
        <v>13</v>
      </c>
      <c r="G82">
        <v>374.55</v>
      </c>
    </row>
    <row r="83" spans="1:7" x14ac:dyDescent="0.3">
      <c r="A83" t="s">
        <v>147</v>
      </c>
      <c r="B83" t="s">
        <v>24</v>
      </c>
      <c r="C83" t="s">
        <v>25</v>
      </c>
      <c r="D83" t="s">
        <v>11</v>
      </c>
      <c r="E83" t="s">
        <v>12</v>
      </c>
      <c r="F83" t="s">
        <v>100</v>
      </c>
      <c r="G83">
        <v>215.87</v>
      </c>
    </row>
    <row r="84" spans="1:7" x14ac:dyDescent="0.3">
      <c r="A84" t="s">
        <v>127</v>
      </c>
      <c r="B84" t="s">
        <v>35</v>
      </c>
      <c r="C84" t="s">
        <v>35</v>
      </c>
      <c r="D84" t="s">
        <v>36</v>
      </c>
      <c r="E84" t="s">
        <v>37</v>
      </c>
      <c r="F84" t="s">
        <v>137</v>
      </c>
      <c r="G84">
        <v>10938.28</v>
      </c>
    </row>
    <row r="85" spans="1:7" x14ac:dyDescent="0.3">
      <c r="A85" t="s">
        <v>148</v>
      </c>
      <c r="B85" t="s">
        <v>59</v>
      </c>
      <c r="C85" t="s">
        <v>60</v>
      </c>
      <c r="D85" t="s">
        <v>11</v>
      </c>
      <c r="E85" t="s">
        <v>18</v>
      </c>
      <c r="F85" t="s">
        <v>137</v>
      </c>
      <c r="G85">
        <v>450.4</v>
      </c>
    </row>
    <row r="86" spans="1:7" x14ac:dyDescent="0.3">
      <c r="A86" t="s">
        <v>142</v>
      </c>
      <c r="B86" t="s">
        <v>35</v>
      </c>
      <c r="C86" t="s">
        <v>35</v>
      </c>
      <c r="D86" t="s">
        <v>36</v>
      </c>
      <c r="E86" t="s">
        <v>50</v>
      </c>
      <c r="F86" t="s">
        <v>64</v>
      </c>
      <c r="G86">
        <v>14773.71</v>
      </c>
    </row>
    <row r="87" spans="1:7" x14ac:dyDescent="0.3">
      <c r="A87" t="s">
        <v>144</v>
      </c>
      <c r="B87" t="s">
        <v>30</v>
      </c>
      <c r="C87" t="s">
        <v>31</v>
      </c>
      <c r="D87" t="s">
        <v>32</v>
      </c>
      <c r="E87" t="s">
        <v>43</v>
      </c>
      <c r="F87" t="s">
        <v>13</v>
      </c>
      <c r="G87">
        <v>316.88</v>
      </c>
    </row>
    <row r="88" spans="1:7" x14ac:dyDescent="0.3">
      <c r="A88" t="s">
        <v>149</v>
      </c>
      <c r="B88" t="s">
        <v>55</v>
      </c>
      <c r="C88" t="s">
        <v>56</v>
      </c>
      <c r="D88" t="s">
        <v>11</v>
      </c>
      <c r="E88" t="s">
        <v>118</v>
      </c>
      <c r="F88" t="s">
        <v>137</v>
      </c>
      <c r="G88">
        <v>106.8</v>
      </c>
    </row>
    <row r="89" spans="1:7" x14ac:dyDescent="0.3">
      <c r="A89" t="s">
        <v>150</v>
      </c>
      <c r="B89" t="s">
        <v>21</v>
      </c>
      <c r="C89" t="s">
        <v>22</v>
      </c>
      <c r="D89" t="s">
        <v>36</v>
      </c>
      <c r="E89" t="s">
        <v>50</v>
      </c>
      <c r="F89" t="s">
        <v>19</v>
      </c>
      <c r="G89">
        <v>10862.98</v>
      </c>
    </row>
    <row r="90" spans="1:7" x14ac:dyDescent="0.3">
      <c r="A90" t="s">
        <v>151</v>
      </c>
      <c r="B90" t="s">
        <v>62</v>
      </c>
      <c r="C90" t="s">
        <v>63</v>
      </c>
      <c r="D90" t="s">
        <v>48</v>
      </c>
      <c r="E90" t="s">
        <v>18</v>
      </c>
      <c r="F90" t="s">
        <v>13</v>
      </c>
      <c r="G90">
        <v>1931.85</v>
      </c>
    </row>
    <row r="91" spans="1:7" x14ac:dyDescent="0.3">
      <c r="A91" t="s">
        <v>147</v>
      </c>
      <c r="B91" t="s">
        <v>24</v>
      </c>
      <c r="C91" t="s">
        <v>25</v>
      </c>
      <c r="D91" t="s">
        <v>11</v>
      </c>
      <c r="E91" t="s">
        <v>12</v>
      </c>
      <c r="F91" t="s">
        <v>13</v>
      </c>
      <c r="G91">
        <v>1271.06</v>
      </c>
    </row>
    <row r="92" spans="1:7" x14ac:dyDescent="0.3">
      <c r="A92" t="s">
        <v>39</v>
      </c>
      <c r="B92" t="s">
        <v>24</v>
      </c>
      <c r="C92" t="s">
        <v>25</v>
      </c>
      <c r="D92" t="s">
        <v>36</v>
      </c>
      <c r="E92" t="s">
        <v>18</v>
      </c>
      <c r="F92" t="s">
        <v>19</v>
      </c>
      <c r="G92">
        <v>6445.95</v>
      </c>
    </row>
    <row r="93" spans="1:7" x14ac:dyDescent="0.3">
      <c r="A93" t="s">
        <v>99</v>
      </c>
      <c r="B93" t="s">
        <v>35</v>
      </c>
      <c r="C93" t="s">
        <v>35</v>
      </c>
      <c r="D93" t="s">
        <v>32</v>
      </c>
      <c r="E93" t="s">
        <v>33</v>
      </c>
      <c r="F93" t="s">
        <v>38</v>
      </c>
      <c r="G93">
        <v>4488.6000000000004</v>
      </c>
    </row>
    <row r="94" spans="1:7" x14ac:dyDescent="0.3">
      <c r="A94" t="s">
        <v>115</v>
      </c>
      <c r="B94" t="s">
        <v>9</v>
      </c>
      <c r="C94" t="s">
        <v>10</v>
      </c>
      <c r="D94" t="s">
        <v>11</v>
      </c>
      <c r="E94" t="s">
        <v>12</v>
      </c>
      <c r="F94" t="s">
        <v>13</v>
      </c>
      <c r="G94">
        <v>1319.49</v>
      </c>
    </row>
    <row r="95" spans="1:7" x14ac:dyDescent="0.3">
      <c r="A95" t="s">
        <v>152</v>
      </c>
      <c r="B95" t="s">
        <v>30</v>
      </c>
      <c r="C95" t="s">
        <v>31</v>
      </c>
      <c r="D95" t="s">
        <v>32</v>
      </c>
      <c r="E95" t="s">
        <v>33</v>
      </c>
      <c r="F95" t="s">
        <v>19</v>
      </c>
      <c r="G95">
        <v>1261.1199999999999</v>
      </c>
    </row>
    <row r="96" spans="1:7" x14ac:dyDescent="0.3">
      <c r="A96" t="s">
        <v>153</v>
      </c>
      <c r="B96" t="s">
        <v>15</v>
      </c>
      <c r="C96" t="s">
        <v>16</v>
      </c>
      <c r="D96" t="s">
        <v>11</v>
      </c>
      <c r="E96" t="s">
        <v>28</v>
      </c>
      <c r="F96" t="s">
        <v>19</v>
      </c>
      <c r="G96">
        <v>184.01</v>
      </c>
    </row>
    <row r="97" spans="1:7" x14ac:dyDescent="0.3">
      <c r="A97" t="s">
        <v>154</v>
      </c>
      <c r="B97" t="s">
        <v>21</v>
      </c>
      <c r="C97" t="s">
        <v>22</v>
      </c>
      <c r="D97" t="s">
        <v>36</v>
      </c>
      <c r="E97" t="s">
        <v>37</v>
      </c>
      <c r="F97" t="s">
        <v>13</v>
      </c>
      <c r="G97">
        <v>13644.88</v>
      </c>
    </row>
    <row r="98" spans="1:7" x14ac:dyDescent="0.3">
      <c r="A98" t="s">
        <v>155</v>
      </c>
      <c r="B98" t="s">
        <v>21</v>
      </c>
      <c r="C98" t="s">
        <v>22</v>
      </c>
      <c r="D98" t="s">
        <v>48</v>
      </c>
      <c r="E98" t="s">
        <v>18</v>
      </c>
      <c r="F98" t="s">
        <v>19</v>
      </c>
      <c r="G98">
        <v>1929.03</v>
      </c>
    </row>
    <row r="99" spans="1:7" x14ac:dyDescent="0.3">
      <c r="A99" t="s">
        <v>112</v>
      </c>
      <c r="B99" t="s">
        <v>15</v>
      </c>
      <c r="C99" t="s">
        <v>16</v>
      </c>
      <c r="D99" t="s">
        <v>50</v>
      </c>
      <c r="E99" t="s">
        <v>50</v>
      </c>
      <c r="F99" t="s">
        <v>19</v>
      </c>
      <c r="G99">
        <v>4141.16</v>
      </c>
    </row>
    <row r="100" spans="1:7" x14ac:dyDescent="0.3">
      <c r="A100" t="s">
        <v>128</v>
      </c>
      <c r="B100" t="s">
        <v>35</v>
      </c>
      <c r="C100" t="s">
        <v>35</v>
      </c>
      <c r="D100" t="s">
        <v>32</v>
      </c>
      <c r="E100" t="s">
        <v>93</v>
      </c>
      <c r="F100" t="s">
        <v>137</v>
      </c>
      <c r="G100">
        <v>597.63</v>
      </c>
    </row>
    <row r="101" spans="1:7" x14ac:dyDescent="0.3">
      <c r="A101" t="s">
        <v>156</v>
      </c>
      <c r="B101" t="s">
        <v>62</v>
      </c>
      <c r="C101" t="s">
        <v>63</v>
      </c>
      <c r="D101" t="s">
        <v>11</v>
      </c>
      <c r="E101" t="s">
        <v>28</v>
      </c>
      <c r="F101" t="s">
        <v>137</v>
      </c>
      <c r="G101">
        <v>497.98</v>
      </c>
    </row>
    <row r="102" spans="1:7" x14ac:dyDescent="0.3">
      <c r="A102" t="s">
        <v>99</v>
      </c>
      <c r="B102" t="s">
        <v>35</v>
      </c>
      <c r="C102" t="s">
        <v>35</v>
      </c>
      <c r="D102" t="s">
        <v>36</v>
      </c>
      <c r="E102" t="s">
        <v>37</v>
      </c>
      <c r="F102" t="s">
        <v>19</v>
      </c>
      <c r="G102">
        <v>2374.61</v>
      </c>
    </row>
    <row r="103" spans="1:7" x14ac:dyDescent="0.3">
      <c r="A103" t="s">
        <v>157</v>
      </c>
      <c r="B103" t="s">
        <v>24</v>
      </c>
      <c r="C103" t="s">
        <v>25</v>
      </c>
      <c r="D103" t="s">
        <v>158</v>
      </c>
      <c r="E103" t="s">
        <v>159</v>
      </c>
      <c r="F103" t="s">
        <v>19</v>
      </c>
      <c r="G103">
        <v>328.31</v>
      </c>
    </row>
    <row r="104" spans="1:7" x14ac:dyDescent="0.3">
      <c r="A104" t="s">
        <v>145</v>
      </c>
      <c r="B104" t="s">
        <v>55</v>
      </c>
      <c r="C104" t="s">
        <v>56</v>
      </c>
      <c r="D104" t="s">
        <v>32</v>
      </c>
      <c r="E104" t="s">
        <v>108</v>
      </c>
      <c r="F104" t="s">
        <v>19</v>
      </c>
      <c r="G104">
        <v>308.19</v>
      </c>
    </row>
    <row r="105" spans="1:7" x14ac:dyDescent="0.3">
      <c r="A105" t="s">
        <v>160</v>
      </c>
      <c r="B105" t="s">
        <v>41</v>
      </c>
      <c r="C105" t="s">
        <v>42</v>
      </c>
      <c r="D105" t="s">
        <v>11</v>
      </c>
      <c r="E105" t="s">
        <v>26</v>
      </c>
      <c r="F105" t="s">
        <v>137</v>
      </c>
      <c r="G105">
        <v>1892.9</v>
      </c>
    </row>
    <row r="106" spans="1:7" x14ac:dyDescent="0.3">
      <c r="A106" t="s">
        <v>161</v>
      </c>
      <c r="B106" t="s">
        <v>9</v>
      </c>
      <c r="C106" t="s">
        <v>10</v>
      </c>
      <c r="D106" t="s">
        <v>36</v>
      </c>
      <c r="E106" t="s">
        <v>50</v>
      </c>
      <c r="F106" t="s">
        <v>100</v>
      </c>
      <c r="G106">
        <v>6497.85</v>
      </c>
    </row>
    <row r="107" spans="1:7" x14ac:dyDescent="0.3">
      <c r="A107" t="s">
        <v>162</v>
      </c>
      <c r="B107" t="s">
        <v>24</v>
      </c>
      <c r="C107" t="s">
        <v>25</v>
      </c>
      <c r="D107" t="s">
        <v>32</v>
      </c>
      <c r="E107" t="s">
        <v>103</v>
      </c>
      <c r="F107" t="s">
        <v>64</v>
      </c>
      <c r="G107">
        <v>2259.25</v>
      </c>
    </row>
    <row r="108" spans="1:7" x14ac:dyDescent="0.3">
      <c r="A108" t="s">
        <v>112</v>
      </c>
      <c r="B108" t="s">
        <v>15</v>
      </c>
      <c r="C108" t="s">
        <v>16</v>
      </c>
      <c r="D108" t="s">
        <v>11</v>
      </c>
      <c r="E108" t="s">
        <v>28</v>
      </c>
      <c r="F108" t="s">
        <v>38</v>
      </c>
      <c r="G108">
        <v>920.66</v>
      </c>
    </row>
    <row r="109" spans="1:7" x14ac:dyDescent="0.3">
      <c r="A109" t="s">
        <v>163</v>
      </c>
      <c r="B109" t="s">
        <v>55</v>
      </c>
      <c r="C109" t="s">
        <v>56</v>
      </c>
      <c r="D109" t="s">
        <v>11</v>
      </c>
      <c r="E109" t="s">
        <v>18</v>
      </c>
      <c r="F109" t="s">
        <v>13</v>
      </c>
      <c r="G109">
        <v>1488.8</v>
      </c>
    </row>
    <row r="110" spans="1:7" x14ac:dyDescent="0.3">
      <c r="A110" t="s">
        <v>101</v>
      </c>
      <c r="B110" t="s">
        <v>21</v>
      </c>
      <c r="C110" t="s">
        <v>22</v>
      </c>
      <c r="D110" t="s">
        <v>11</v>
      </c>
      <c r="E110" t="s">
        <v>28</v>
      </c>
      <c r="F110" t="s">
        <v>137</v>
      </c>
      <c r="G110">
        <v>1778.79</v>
      </c>
    </row>
    <row r="111" spans="1:7" x14ac:dyDescent="0.3">
      <c r="A111" t="s">
        <v>164</v>
      </c>
      <c r="B111" t="s">
        <v>24</v>
      </c>
      <c r="C111" t="s">
        <v>25</v>
      </c>
      <c r="D111" t="s">
        <v>50</v>
      </c>
      <c r="E111" t="s">
        <v>50</v>
      </c>
      <c r="F111" t="s">
        <v>19</v>
      </c>
      <c r="G111">
        <v>25101.96</v>
      </c>
    </row>
    <row r="112" spans="1:7" x14ac:dyDescent="0.3">
      <c r="A112" t="s">
        <v>165</v>
      </c>
      <c r="B112" t="s">
        <v>62</v>
      </c>
      <c r="C112" t="s">
        <v>63</v>
      </c>
      <c r="D112" t="s">
        <v>36</v>
      </c>
      <c r="E112" t="s">
        <v>37</v>
      </c>
      <c r="F112" t="s">
        <v>19</v>
      </c>
      <c r="G112">
        <v>7750.52</v>
      </c>
    </row>
    <row r="113" spans="1:7" x14ac:dyDescent="0.3">
      <c r="A113" t="s">
        <v>166</v>
      </c>
      <c r="B113" t="s">
        <v>62</v>
      </c>
      <c r="C113" t="s">
        <v>63</v>
      </c>
      <c r="D113" t="s">
        <v>53</v>
      </c>
      <c r="E113" t="s">
        <v>18</v>
      </c>
      <c r="F113" t="s">
        <v>19</v>
      </c>
      <c r="G113">
        <v>8022.55</v>
      </c>
    </row>
    <row r="114" spans="1:7" x14ac:dyDescent="0.3">
      <c r="A114" t="s">
        <v>47</v>
      </c>
      <c r="B114" t="s">
        <v>41</v>
      </c>
      <c r="C114" t="s">
        <v>42</v>
      </c>
      <c r="D114" t="s">
        <v>48</v>
      </c>
      <c r="E114" t="s">
        <v>18</v>
      </c>
      <c r="F114" t="s">
        <v>137</v>
      </c>
      <c r="G114">
        <v>6074.51</v>
      </c>
    </row>
    <row r="115" spans="1:7" x14ac:dyDescent="0.3">
      <c r="A115" t="s">
        <v>167</v>
      </c>
      <c r="B115" t="s">
        <v>62</v>
      </c>
      <c r="C115" t="s">
        <v>63</v>
      </c>
      <c r="D115" t="s">
        <v>32</v>
      </c>
      <c r="E115" t="s">
        <v>108</v>
      </c>
      <c r="F115" t="s">
        <v>19</v>
      </c>
      <c r="G115">
        <v>1874.99</v>
      </c>
    </row>
    <row r="116" spans="1:7" x14ac:dyDescent="0.3">
      <c r="A116" t="s">
        <v>168</v>
      </c>
      <c r="B116" t="s">
        <v>24</v>
      </c>
      <c r="C116" t="s">
        <v>25</v>
      </c>
      <c r="D116" t="s">
        <v>50</v>
      </c>
      <c r="E116" t="s">
        <v>50</v>
      </c>
      <c r="F116" t="s">
        <v>64</v>
      </c>
      <c r="G116">
        <v>33762.67</v>
      </c>
    </row>
    <row r="117" spans="1:7" x14ac:dyDescent="0.3">
      <c r="A117" t="s">
        <v>120</v>
      </c>
      <c r="B117" t="s">
        <v>55</v>
      </c>
      <c r="C117" t="s">
        <v>56</v>
      </c>
      <c r="D117" t="s">
        <v>48</v>
      </c>
      <c r="E117" t="s">
        <v>18</v>
      </c>
      <c r="F117" t="s">
        <v>19</v>
      </c>
      <c r="G117">
        <v>2706.28</v>
      </c>
    </row>
    <row r="118" spans="1:7" x14ac:dyDescent="0.3">
      <c r="A118" t="s">
        <v>169</v>
      </c>
      <c r="B118" t="s">
        <v>35</v>
      </c>
      <c r="C118" t="s">
        <v>35</v>
      </c>
      <c r="D118" t="s">
        <v>48</v>
      </c>
      <c r="E118" t="s">
        <v>18</v>
      </c>
      <c r="F118" t="s">
        <v>19</v>
      </c>
      <c r="G118">
        <v>1563.36</v>
      </c>
    </row>
    <row r="119" spans="1:7" x14ac:dyDescent="0.3">
      <c r="A119" t="s">
        <v>170</v>
      </c>
      <c r="B119" t="s">
        <v>41</v>
      </c>
      <c r="C119" t="s">
        <v>42</v>
      </c>
      <c r="D119" t="s">
        <v>32</v>
      </c>
      <c r="E119" t="s">
        <v>18</v>
      </c>
      <c r="F119" t="s">
        <v>13</v>
      </c>
      <c r="G119">
        <v>1291.46</v>
      </c>
    </row>
    <row r="120" spans="1:7" x14ac:dyDescent="0.3">
      <c r="A120" t="s">
        <v>139</v>
      </c>
      <c r="B120" t="s">
        <v>55</v>
      </c>
      <c r="C120" t="s">
        <v>56</v>
      </c>
      <c r="D120" t="s">
        <v>50</v>
      </c>
      <c r="E120" t="s">
        <v>50</v>
      </c>
      <c r="F120" t="s">
        <v>137</v>
      </c>
      <c r="G120">
        <v>1162.3499999999999</v>
      </c>
    </row>
    <row r="121" spans="1:7" x14ac:dyDescent="0.3">
      <c r="A121" t="s">
        <v>130</v>
      </c>
      <c r="B121" t="s">
        <v>41</v>
      </c>
      <c r="C121" t="s">
        <v>42</v>
      </c>
      <c r="D121" t="s">
        <v>48</v>
      </c>
      <c r="E121" t="s">
        <v>18</v>
      </c>
      <c r="F121" t="s">
        <v>19</v>
      </c>
      <c r="G121">
        <v>4987.05</v>
      </c>
    </row>
    <row r="122" spans="1:7" x14ac:dyDescent="0.3">
      <c r="A122" t="s">
        <v>171</v>
      </c>
      <c r="B122" t="s">
        <v>62</v>
      </c>
      <c r="C122" t="s">
        <v>63</v>
      </c>
      <c r="D122" t="s">
        <v>36</v>
      </c>
      <c r="E122" t="s">
        <v>37</v>
      </c>
      <c r="F122" t="s">
        <v>19</v>
      </c>
      <c r="G122">
        <v>11320.15</v>
      </c>
    </row>
    <row r="123" spans="1:7" x14ac:dyDescent="0.3">
      <c r="A123" t="s">
        <v>152</v>
      </c>
      <c r="B123" t="s">
        <v>30</v>
      </c>
      <c r="C123" t="s">
        <v>31</v>
      </c>
      <c r="D123" t="s">
        <v>48</v>
      </c>
      <c r="E123" t="s">
        <v>18</v>
      </c>
      <c r="F123" t="s">
        <v>137</v>
      </c>
      <c r="G123">
        <v>2119.9899999999998</v>
      </c>
    </row>
    <row r="124" spans="1:7" x14ac:dyDescent="0.3">
      <c r="A124" t="s">
        <v>172</v>
      </c>
      <c r="B124" t="s">
        <v>9</v>
      </c>
      <c r="C124" t="s">
        <v>10</v>
      </c>
      <c r="D124" t="s">
        <v>48</v>
      </c>
      <c r="E124" t="s">
        <v>18</v>
      </c>
      <c r="F124" t="s">
        <v>38</v>
      </c>
      <c r="G124">
        <v>1358.95</v>
      </c>
    </row>
    <row r="125" spans="1:7" x14ac:dyDescent="0.3">
      <c r="A125" t="s">
        <v>147</v>
      </c>
      <c r="B125" t="s">
        <v>24</v>
      </c>
      <c r="C125" t="s">
        <v>25</v>
      </c>
      <c r="D125" t="s">
        <v>11</v>
      </c>
      <c r="E125" t="s">
        <v>118</v>
      </c>
      <c r="F125" t="s">
        <v>19</v>
      </c>
      <c r="G125">
        <v>1233.23</v>
      </c>
    </row>
    <row r="126" spans="1:7" x14ac:dyDescent="0.3">
      <c r="A126" t="s">
        <v>61</v>
      </c>
      <c r="B126" t="s">
        <v>62</v>
      </c>
      <c r="C126" t="s">
        <v>63</v>
      </c>
      <c r="D126" t="s">
        <v>50</v>
      </c>
      <c r="E126" t="s">
        <v>50</v>
      </c>
      <c r="F126" t="s">
        <v>38</v>
      </c>
      <c r="G126">
        <v>7142.77</v>
      </c>
    </row>
    <row r="127" spans="1:7" x14ac:dyDescent="0.3">
      <c r="A127" t="s">
        <v>168</v>
      </c>
      <c r="B127" t="s">
        <v>24</v>
      </c>
      <c r="C127" t="s">
        <v>25</v>
      </c>
      <c r="D127" t="s">
        <v>17</v>
      </c>
      <c r="E127" t="s">
        <v>18</v>
      </c>
      <c r="F127" t="s">
        <v>19</v>
      </c>
      <c r="G127">
        <v>38.51</v>
      </c>
    </row>
    <row r="128" spans="1:7" x14ac:dyDescent="0.3">
      <c r="A128" t="s">
        <v>173</v>
      </c>
      <c r="B128" t="s">
        <v>35</v>
      </c>
      <c r="C128" t="s">
        <v>35</v>
      </c>
      <c r="D128" t="s">
        <v>48</v>
      </c>
      <c r="E128" t="s">
        <v>18</v>
      </c>
      <c r="F128" t="s">
        <v>19</v>
      </c>
      <c r="G128">
        <v>7551.58</v>
      </c>
    </row>
    <row r="129" spans="1:7" x14ac:dyDescent="0.3">
      <c r="A129" t="s">
        <v>109</v>
      </c>
      <c r="B129" t="s">
        <v>41</v>
      </c>
      <c r="C129" t="s">
        <v>42</v>
      </c>
      <c r="D129" t="s">
        <v>11</v>
      </c>
      <c r="E129" t="s">
        <v>28</v>
      </c>
      <c r="F129" t="s">
        <v>19</v>
      </c>
      <c r="G129">
        <v>620.63</v>
      </c>
    </row>
    <row r="130" spans="1:7" x14ac:dyDescent="0.3">
      <c r="A130" t="s">
        <v>141</v>
      </c>
      <c r="B130" t="s">
        <v>30</v>
      </c>
      <c r="C130" t="s">
        <v>31</v>
      </c>
      <c r="D130" t="s">
        <v>11</v>
      </c>
      <c r="E130" t="s">
        <v>118</v>
      </c>
      <c r="F130" t="s">
        <v>19</v>
      </c>
      <c r="G130">
        <v>1585.97</v>
      </c>
    </row>
    <row r="131" spans="1:7" x14ac:dyDescent="0.3">
      <c r="A131" t="s">
        <v>155</v>
      </c>
      <c r="B131" t="s">
        <v>21</v>
      </c>
      <c r="C131" t="s">
        <v>22</v>
      </c>
      <c r="D131" t="s">
        <v>32</v>
      </c>
      <c r="E131" t="s">
        <v>43</v>
      </c>
      <c r="F131" t="s">
        <v>100</v>
      </c>
      <c r="G131">
        <v>882.2</v>
      </c>
    </row>
    <row r="132" spans="1:7" x14ac:dyDescent="0.3">
      <c r="A132" t="s">
        <v>174</v>
      </c>
      <c r="B132" t="s">
        <v>21</v>
      </c>
      <c r="C132" t="s">
        <v>22</v>
      </c>
      <c r="D132" t="s">
        <v>36</v>
      </c>
      <c r="E132" t="s">
        <v>50</v>
      </c>
      <c r="F132" t="s">
        <v>100</v>
      </c>
      <c r="G132">
        <v>2108.42</v>
      </c>
    </row>
    <row r="133" spans="1:7" x14ac:dyDescent="0.3">
      <c r="A133" t="s">
        <v>168</v>
      </c>
      <c r="B133" t="s">
        <v>24</v>
      </c>
      <c r="C133" t="s">
        <v>25</v>
      </c>
      <c r="D133" t="s">
        <v>36</v>
      </c>
      <c r="E133" t="s">
        <v>18</v>
      </c>
      <c r="F133" t="s">
        <v>19</v>
      </c>
      <c r="G133">
        <v>6346.82</v>
      </c>
    </row>
    <row r="134" spans="1:7" x14ac:dyDescent="0.3">
      <c r="A134" t="s">
        <v>57</v>
      </c>
      <c r="B134" t="s">
        <v>35</v>
      </c>
      <c r="C134" t="s">
        <v>35</v>
      </c>
      <c r="D134" t="s">
        <v>36</v>
      </c>
      <c r="E134" t="s">
        <v>37</v>
      </c>
      <c r="F134" t="s">
        <v>19</v>
      </c>
      <c r="G134">
        <v>2444.79</v>
      </c>
    </row>
    <row r="135" spans="1:7" x14ac:dyDescent="0.3">
      <c r="A135" t="s">
        <v>175</v>
      </c>
      <c r="B135" t="s">
        <v>15</v>
      </c>
      <c r="C135" t="s">
        <v>16</v>
      </c>
      <c r="D135" t="s">
        <v>36</v>
      </c>
      <c r="E135" t="s">
        <v>37</v>
      </c>
      <c r="F135" t="s">
        <v>13</v>
      </c>
      <c r="G135">
        <v>7043.84</v>
      </c>
    </row>
    <row r="136" spans="1:7" x14ac:dyDescent="0.3">
      <c r="A136" t="s">
        <v>47</v>
      </c>
      <c r="B136" t="s">
        <v>41</v>
      </c>
      <c r="C136" t="s">
        <v>42</v>
      </c>
      <c r="D136" t="s">
        <v>36</v>
      </c>
      <c r="E136" t="s">
        <v>18</v>
      </c>
      <c r="F136" t="s">
        <v>19</v>
      </c>
      <c r="G136">
        <v>6840.11</v>
      </c>
    </row>
    <row r="137" spans="1:7" x14ac:dyDescent="0.3">
      <c r="A137" t="s">
        <v>176</v>
      </c>
      <c r="B137" t="s">
        <v>55</v>
      </c>
      <c r="C137" t="s">
        <v>56</v>
      </c>
      <c r="D137" t="s">
        <v>32</v>
      </c>
      <c r="E137" t="s">
        <v>33</v>
      </c>
      <c r="F137" t="s">
        <v>19</v>
      </c>
      <c r="G137">
        <v>1890.76</v>
      </c>
    </row>
    <row r="138" spans="1:7" x14ac:dyDescent="0.3">
      <c r="A138" t="s">
        <v>177</v>
      </c>
      <c r="B138" t="s">
        <v>30</v>
      </c>
      <c r="C138" t="s">
        <v>31</v>
      </c>
      <c r="D138" t="s">
        <v>11</v>
      </c>
      <c r="E138" t="s">
        <v>114</v>
      </c>
      <c r="F138" t="s">
        <v>64</v>
      </c>
      <c r="G138">
        <v>156.56</v>
      </c>
    </row>
    <row r="139" spans="1:7" x14ac:dyDescent="0.3">
      <c r="A139" t="s">
        <v>58</v>
      </c>
      <c r="B139" t="s">
        <v>59</v>
      </c>
      <c r="C139" t="s">
        <v>60</v>
      </c>
      <c r="D139" t="s">
        <v>53</v>
      </c>
      <c r="E139" t="s">
        <v>18</v>
      </c>
      <c r="F139" t="s">
        <v>64</v>
      </c>
      <c r="G139">
        <v>34109.050000000003</v>
      </c>
    </row>
    <row r="140" spans="1:7" x14ac:dyDescent="0.3">
      <c r="A140" t="s">
        <v>178</v>
      </c>
      <c r="B140" t="s">
        <v>24</v>
      </c>
      <c r="C140" t="s">
        <v>25</v>
      </c>
      <c r="D140" t="s">
        <v>50</v>
      </c>
      <c r="E140" t="s">
        <v>50</v>
      </c>
      <c r="F140" t="s">
        <v>13</v>
      </c>
      <c r="G140">
        <v>31820.1</v>
      </c>
    </row>
    <row r="141" spans="1:7" x14ac:dyDescent="0.3">
      <c r="A141" t="s">
        <v>179</v>
      </c>
      <c r="B141" t="s">
        <v>30</v>
      </c>
      <c r="C141" t="s">
        <v>31</v>
      </c>
      <c r="D141" t="s">
        <v>11</v>
      </c>
      <c r="E141" t="s">
        <v>26</v>
      </c>
      <c r="F141" t="s">
        <v>64</v>
      </c>
      <c r="G141">
        <v>787.66</v>
      </c>
    </row>
    <row r="142" spans="1:7" x14ac:dyDescent="0.3">
      <c r="A142" t="s">
        <v>97</v>
      </c>
      <c r="B142" t="s">
        <v>21</v>
      </c>
      <c r="C142" t="s">
        <v>22</v>
      </c>
      <c r="D142" t="s">
        <v>48</v>
      </c>
      <c r="E142" t="s">
        <v>18</v>
      </c>
      <c r="F142" t="s">
        <v>137</v>
      </c>
      <c r="G142">
        <v>6685.56</v>
      </c>
    </row>
    <row r="143" spans="1:7" x14ac:dyDescent="0.3">
      <c r="A143" t="s">
        <v>180</v>
      </c>
      <c r="B143" t="s">
        <v>59</v>
      </c>
      <c r="C143" t="s">
        <v>60</v>
      </c>
      <c r="D143" t="s">
        <v>48</v>
      </c>
      <c r="E143" t="s">
        <v>18</v>
      </c>
      <c r="F143" t="s">
        <v>38</v>
      </c>
      <c r="G143">
        <v>3355.08</v>
      </c>
    </row>
    <row r="144" spans="1:7" x14ac:dyDescent="0.3">
      <c r="A144" t="s">
        <v>181</v>
      </c>
      <c r="B144" t="s">
        <v>21</v>
      </c>
      <c r="C144" t="s">
        <v>22</v>
      </c>
      <c r="D144" t="s">
        <v>36</v>
      </c>
      <c r="E144" t="s">
        <v>50</v>
      </c>
      <c r="F144" t="s">
        <v>13</v>
      </c>
      <c r="G144">
        <v>10014.780000000001</v>
      </c>
    </row>
    <row r="145" spans="1:7" x14ac:dyDescent="0.3">
      <c r="A145" t="s">
        <v>131</v>
      </c>
      <c r="B145" t="s">
        <v>41</v>
      </c>
      <c r="C145" t="s">
        <v>42</v>
      </c>
      <c r="D145" t="s">
        <v>36</v>
      </c>
      <c r="E145" t="s">
        <v>50</v>
      </c>
      <c r="F145" t="s">
        <v>13</v>
      </c>
      <c r="G145">
        <v>9042.41</v>
      </c>
    </row>
    <row r="146" spans="1:7" x14ac:dyDescent="0.3">
      <c r="A146" t="s">
        <v>113</v>
      </c>
      <c r="B146" t="s">
        <v>21</v>
      </c>
      <c r="C146" t="s">
        <v>22</v>
      </c>
      <c r="D146" t="s">
        <v>48</v>
      </c>
      <c r="E146" t="s">
        <v>18</v>
      </c>
      <c r="F146" t="s">
        <v>19</v>
      </c>
      <c r="G146">
        <v>6335.52</v>
      </c>
    </row>
    <row r="147" spans="1:7" x14ac:dyDescent="0.3">
      <c r="A147" t="s">
        <v>8</v>
      </c>
      <c r="B147" t="s">
        <v>9</v>
      </c>
      <c r="C147" t="s">
        <v>10</v>
      </c>
      <c r="D147" t="s">
        <v>11</v>
      </c>
      <c r="E147" t="s">
        <v>26</v>
      </c>
      <c r="F147" t="s">
        <v>19</v>
      </c>
      <c r="G147">
        <v>1013.26</v>
      </c>
    </row>
    <row r="148" spans="1:7" x14ac:dyDescent="0.3">
      <c r="A148" t="s">
        <v>46</v>
      </c>
      <c r="B148" t="s">
        <v>35</v>
      </c>
      <c r="C148" t="s">
        <v>35</v>
      </c>
      <c r="D148" t="s">
        <v>36</v>
      </c>
      <c r="E148" t="s">
        <v>37</v>
      </c>
      <c r="F148" t="s">
        <v>19</v>
      </c>
      <c r="G148">
        <v>13624.55</v>
      </c>
    </row>
    <row r="149" spans="1:7" x14ac:dyDescent="0.3">
      <c r="A149" t="s">
        <v>96</v>
      </c>
      <c r="B149" t="s">
        <v>62</v>
      </c>
      <c r="C149" t="s">
        <v>63</v>
      </c>
      <c r="D149" t="s">
        <v>11</v>
      </c>
      <c r="E149" t="s">
        <v>28</v>
      </c>
      <c r="F149" t="s">
        <v>19</v>
      </c>
      <c r="G149">
        <v>1434.73</v>
      </c>
    </row>
    <row r="150" spans="1:7" x14ac:dyDescent="0.3">
      <c r="A150" t="s">
        <v>166</v>
      </c>
      <c r="B150" t="s">
        <v>62</v>
      </c>
      <c r="C150" t="s">
        <v>63</v>
      </c>
      <c r="D150" t="s">
        <v>32</v>
      </c>
      <c r="E150" t="s">
        <v>18</v>
      </c>
      <c r="F150" t="s">
        <v>38</v>
      </c>
      <c r="G150">
        <v>1271.03</v>
      </c>
    </row>
    <row r="151" spans="1:7" x14ac:dyDescent="0.3">
      <c r="A151" t="s">
        <v>168</v>
      </c>
      <c r="B151" t="s">
        <v>24</v>
      </c>
      <c r="C151" t="s">
        <v>25</v>
      </c>
      <c r="D151" t="s">
        <v>11</v>
      </c>
      <c r="E151" t="s">
        <v>26</v>
      </c>
      <c r="F151" t="s">
        <v>137</v>
      </c>
      <c r="G151">
        <v>1902.96</v>
      </c>
    </row>
    <row r="152" spans="1:7" x14ac:dyDescent="0.3">
      <c r="A152" t="s">
        <v>107</v>
      </c>
      <c r="B152" t="s">
        <v>24</v>
      </c>
      <c r="C152" t="s">
        <v>25</v>
      </c>
      <c r="D152" t="s">
        <v>36</v>
      </c>
      <c r="E152" t="s">
        <v>37</v>
      </c>
      <c r="F152" t="s">
        <v>137</v>
      </c>
      <c r="G152">
        <v>6565.59</v>
      </c>
    </row>
    <row r="153" spans="1:7" x14ac:dyDescent="0.3">
      <c r="A153" t="s">
        <v>27</v>
      </c>
      <c r="B153" t="s">
        <v>24</v>
      </c>
      <c r="C153" t="s">
        <v>25</v>
      </c>
      <c r="D153" t="s">
        <v>50</v>
      </c>
      <c r="E153" t="s">
        <v>50</v>
      </c>
      <c r="F153" t="s">
        <v>13</v>
      </c>
      <c r="G153">
        <v>15354.95</v>
      </c>
    </row>
    <row r="154" spans="1:7" x14ac:dyDescent="0.3">
      <c r="A154" t="s">
        <v>182</v>
      </c>
      <c r="B154" t="s">
        <v>62</v>
      </c>
      <c r="C154" t="s">
        <v>63</v>
      </c>
      <c r="D154" t="s">
        <v>36</v>
      </c>
      <c r="E154" t="s">
        <v>50</v>
      </c>
      <c r="F154" t="s">
        <v>19</v>
      </c>
      <c r="G154">
        <v>9350.98</v>
      </c>
    </row>
    <row r="155" spans="1:7" x14ac:dyDescent="0.3">
      <c r="A155" t="s">
        <v>122</v>
      </c>
      <c r="B155" t="s">
        <v>21</v>
      </c>
      <c r="C155" t="s">
        <v>22</v>
      </c>
      <c r="D155" t="s">
        <v>53</v>
      </c>
      <c r="E155" t="s">
        <v>18</v>
      </c>
      <c r="F155" t="s">
        <v>19</v>
      </c>
      <c r="G155">
        <v>48092.79</v>
      </c>
    </row>
    <row r="156" spans="1:7" x14ac:dyDescent="0.3">
      <c r="A156" t="s">
        <v>183</v>
      </c>
      <c r="B156" t="s">
        <v>24</v>
      </c>
      <c r="C156" t="s">
        <v>25</v>
      </c>
      <c r="D156" t="s">
        <v>11</v>
      </c>
      <c r="E156" t="s">
        <v>28</v>
      </c>
      <c r="F156" t="s">
        <v>64</v>
      </c>
      <c r="G156">
        <v>1064.68</v>
      </c>
    </row>
    <row r="157" spans="1:7" x14ac:dyDescent="0.3">
      <c r="A157" t="s">
        <v>173</v>
      </c>
      <c r="B157" t="s">
        <v>35</v>
      </c>
      <c r="C157" t="s">
        <v>35</v>
      </c>
      <c r="D157" t="s">
        <v>11</v>
      </c>
      <c r="E157" t="s">
        <v>114</v>
      </c>
      <c r="F157" t="s">
        <v>19</v>
      </c>
      <c r="G157">
        <v>697.1</v>
      </c>
    </row>
    <row r="158" spans="1:7" x14ac:dyDescent="0.3">
      <c r="A158" t="s">
        <v>104</v>
      </c>
      <c r="B158" t="s">
        <v>35</v>
      </c>
      <c r="C158" t="s">
        <v>35</v>
      </c>
      <c r="D158" t="s">
        <v>32</v>
      </c>
      <c r="E158" t="s">
        <v>93</v>
      </c>
      <c r="F158" t="s">
        <v>64</v>
      </c>
      <c r="G158">
        <v>4559.49</v>
      </c>
    </row>
    <row r="159" spans="1:7" x14ac:dyDescent="0.3">
      <c r="A159" t="s">
        <v>123</v>
      </c>
      <c r="B159" t="s">
        <v>24</v>
      </c>
      <c r="C159" t="s">
        <v>25</v>
      </c>
      <c r="D159" t="s">
        <v>11</v>
      </c>
      <c r="E159" t="s">
        <v>12</v>
      </c>
      <c r="F159" t="s">
        <v>19</v>
      </c>
      <c r="G159">
        <v>198.01</v>
      </c>
    </row>
    <row r="160" spans="1:7" x14ac:dyDescent="0.3">
      <c r="A160" t="s">
        <v>184</v>
      </c>
      <c r="B160" t="s">
        <v>62</v>
      </c>
      <c r="C160" t="s">
        <v>63</v>
      </c>
      <c r="D160" t="s">
        <v>11</v>
      </c>
      <c r="E160" t="s">
        <v>18</v>
      </c>
      <c r="F160" t="s">
        <v>13</v>
      </c>
      <c r="G160">
        <v>1171.3399999999999</v>
      </c>
    </row>
    <row r="161" spans="1:7" x14ac:dyDescent="0.3">
      <c r="A161" t="s">
        <v>144</v>
      </c>
      <c r="B161" t="s">
        <v>30</v>
      </c>
      <c r="C161" t="s">
        <v>31</v>
      </c>
      <c r="D161" t="s">
        <v>158</v>
      </c>
      <c r="E161" t="s">
        <v>159</v>
      </c>
      <c r="F161" t="s">
        <v>13</v>
      </c>
      <c r="G161">
        <v>286.47000000000003</v>
      </c>
    </row>
    <row r="162" spans="1:7" x14ac:dyDescent="0.3">
      <c r="A162" t="s">
        <v>185</v>
      </c>
      <c r="B162" t="s">
        <v>24</v>
      </c>
      <c r="C162" t="s">
        <v>25</v>
      </c>
      <c r="D162" t="s">
        <v>36</v>
      </c>
      <c r="E162" t="s">
        <v>37</v>
      </c>
      <c r="F162" t="s">
        <v>64</v>
      </c>
      <c r="G162">
        <v>13351.73</v>
      </c>
    </row>
    <row r="163" spans="1:7" x14ac:dyDescent="0.3">
      <c r="A163" t="s">
        <v>54</v>
      </c>
      <c r="B163" t="s">
        <v>55</v>
      </c>
      <c r="C163" t="s">
        <v>56</v>
      </c>
      <c r="D163" t="s">
        <v>32</v>
      </c>
      <c r="E163" t="s">
        <v>18</v>
      </c>
      <c r="F163" t="s">
        <v>13</v>
      </c>
      <c r="G163">
        <v>2419.14</v>
      </c>
    </row>
    <row r="164" spans="1:7" x14ac:dyDescent="0.3">
      <c r="A164" t="s">
        <v>186</v>
      </c>
      <c r="B164" t="s">
        <v>24</v>
      </c>
      <c r="C164" t="s">
        <v>25</v>
      </c>
      <c r="D164" t="s">
        <v>36</v>
      </c>
      <c r="E164" t="s">
        <v>50</v>
      </c>
      <c r="F164" t="s">
        <v>19</v>
      </c>
      <c r="G164">
        <v>2434.8200000000002</v>
      </c>
    </row>
    <row r="165" spans="1:7" x14ac:dyDescent="0.3">
      <c r="A165" t="s">
        <v>187</v>
      </c>
      <c r="B165" t="s">
        <v>15</v>
      </c>
      <c r="C165" t="s">
        <v>16</v>
      </c>
      <c r="D165" t="s">
        <v>158</v>
      </c>
      <c r="E165" t="s">
        <v>159</v>
      </c>
      <c r="F165" t="s">
        <v>19</v>
      </c>
      <c r="G165">
        <v>452.56</v>
      </c>
    </row>
    <row r="166" spans="1:7" x14ac:dyDescent="0.3">
      <c r="A166" t="s">
        <v>27</v>
      </c>
      <c r="B166" t="s">
        <v>24</v>
      </c>
      <c r="C166" t="s">
        <v>25</v>
      </c>
      <c r="D166" t="s">
        <v>17</v>
      </c>
      <c r="E166" t="s">
        <v>18</v>
      </c>
      <c r="F166" t="s">
        <v>19</v>
      </c>
      <c r="G166">
        <v>23.78</v>
      </c>
    </row>
    <row r="167" spans="1:7" x14ac:dyDescent="0.3">
      <c r="A167" t="s">
        <v>124</v>
      </c>
      <c r="B167" t="s">
        <v>62</v>
      </c>
      <c r="C167" t="s">
        <v>63</v>
      </c>
      <c r="D167" t="s">
        <v>32</v>
      </c>
      <c r="E167" t="s">
        <v>103</v>
      </c>
      <c r="F167" t="s">
        <v>19</v>
      </c>
      <c r="G167">
        <v>1671.25</v>
      </c>
    </row>
    <row r="168" spans="1:7" x14ac:dyDescent="0.3">
      <c r="A168" t="s">
        <v>188</v>
      </c>
      <c r="B168" t="s">
        <v>55</v>
      </c>
      <c r="C168" t="s">
        <v>56</v>
      </c>
      <c r="D168" t="s">
        <v>32</v>
      </c>
      <c r="E168" t="s">
        <v>18</v>
      </c>
      <c r="F168" t="s">
        <v>137</v>
      </c>
      <c r="G168">
        <v>1084.17</v>
      </c>
    </row>
    <row r="169" spans="1:7" x14ac:dyDescent="0.3">
      <c r="A169" t="s">
        <v>189</v>
      </c>
      <c r="B169" t="s">
        <v>30</v>
      </c>
      <c r="C169" t="s">
        <v>31</v>
      </c>
      <c r="D169" t="s">
        <v>11</v>
      </c>
      <c r="E169" t="s">
        <v>114</v>
      </c>
      <c r="F169" t="s">
        <v>19</v>
      </c>
      <c r="G169">
        <v>1547.01</v>
      </c>
    </row>
    <row r="170" spans="1:7" x14ac:dyDescent="0.3">
      <c r="A170" t="s">
        <v>170</v>
      </c>
      <c r="B170" t="s">
        <v>41</v>
      </c>
      <c r="C170" t="s">
        <v>42</v>
      </c>
      <c r="D170" t="s">
        <v>50</v>
      </c>
      <c r="E170" t="s">
        <v>50</v>
      </c>
      <c r="F170" t="s">
        <v>19</v>
      </c>
      <c r="G170">
        <v>15210.91</v>
      </c>
    </row>
    <row r="171" spans="1:7" x14ac:dyDescent="0.3">
      <c r="A171" t="s">
        <v>190</v>
      </c>
      <c r="B171" t="s">
        <v>21</v>
      </c>
      <c r="C171" t="s">
        <v>22</v>
      </c>
      <c r="D171" t="s">
        <v>53</v>
      </c>
      <c r="E171" t="s">
        <v>18</v>
      </c>
      <c r="F171" t="s">
        <v>13</v>
      </c>
      <c r="G171">
        <v>15335.35</v>
      </c>
    </row>
    <row r="172" spans="1:7" x14ac:dyDescent="0.3">
      <c r="A172" t="s">
        <v>191</v>
      </c>
      <c r="B172" t="s">
        <v>24</v>
      </c>
      <c r="C172" t="s">
        <v>25</v>
      </c>
      <c r="D172" t="s">
        <v>11</v>
      </c>
      <c r="E172" t="s">
        <v>26</v>
      </c>
      <c r="F172" t="s">
        <v>13</v>
      </c>
      <c r="G172">
        <v>195.8</v>
      </c>
    </row>
    <row r="173" spans="1:7" x14ac:dyDescent="0.3">
      <c r="A173" t="s">
        <v>192</v>
      </c>
      <c r="B173" t="s">
        <v>55</v>
      </c>
      <c r="C173" t="s">
        <v>56</v>
      </c>
      <c r="D173" t="s">
        <v>17</v>
      </c>
      <c r="E173" t="s">
        <v>18</v>
      </c>
      <c r="F173" t="s">
        <v>13</v>
      </c>
      <c r="G173">
        <v>4.4800000000000004</v>
      </c>
    </row>
    <row r="174" spans="1:7" x14ac:dyDescent="0.3">
      <c r="A174" t="s">
        <v>193</v>
      </c>
      <c r="B174" t="s">
        <v>21</v>
      </c>
      <c r="C174" t="s">
        <v>22</v>
      </c>
      <c r="D174" t="s">
        <v>11</v>
      </c>
      <c r="E174" t="s">
        <v>18</v>
      </c>
      <c r="F174" t="s">
        <v>137</v>
      </c>
      <c r="G174">
        <v>565.30999999999995</v>
      </c>
    </row>
    <row r="175" spans="1:7" x14ac:dyDescent="0.3">
      <c r="A175" t="s">
        <v>161</v>
      </c>
      <c r="B175" t="s">
        <v>9</v>
      </c>
      <c r="C175" t="s">
        <v>10</v>
      </c>
      <c r="D175" t="s">
        <v>11</v>
      </c>
      <c r="E175" t="s">
        <v>26</v>
      </c>
      <c r="F175" t="s">
        <v>13</v>
      </c>
      <c r="G175">
        <v>1904.8</v>
      </c>
    </row>
    <row r="176" spans="1:7" x14ac:dyDescent="0.3">
      <c r="A176" t="s">
        <v>194</v>
      </c>
      <c r="B176" t="s">
        <v>59</v>
      </c>
      <c r="C176" t="s">
        <v>60</v>
      </c>
      <c r="D176" t="s">
        <v>36</v>
      </c>
      <c r="E176" t="s">
        <v>37</v>
      </c>
      <c r="F176" t="s">
        <v>100</v>
      </c>
      <c r="G176">
        <v>12268.4</v>
      </c>
    </row>
    <row r="177" spans="1:7" x14ac:dyDescent="0.3">
      <c r="A177" t="s">
        <v>195</v>
      </c>
      <c r="B177" t="s">
        <v>41</v>
      </c>
      <c r="C177" t="s">
        <v>42</v>
      </c>
      <c r="D177" t="s">
        <v>32</v>
      </c>
      <c r="E177" t="s">
        <v>103</v>
      </c>
      <c r="F177" t="s">
        <v>64</v>
      </c>
      <c r="G177">
        <v>4106.04</v>
      </c>
    </row>
    <row r="178" spans="1:7" x14ac:dyDescent="0.3">
      <c r="A178" t="s">
        <v>196</v>
      </c>
      <c r="B178" t="s">
        <v>59</v>
      </c>
      <c r="C178" t="s">
        <v>60</v>
      </c>
      <c r="D178" t="s">
        <v>32</v>
      </c>
      <c r="E178" t="s">
        <v>108</v>
      </c>
      <c r="F178" t="s">
        <v>13</v>
      </c>
      <c r="G178">
        <v>812.65</v>
      </c>
    </row>
    <row r="179" spans="1:7" x14ac:dyDescent="0.3">
      <c r="A179" t="s">
        <v>197</v>
      </c>
      <c r="B179" t="s">
        <v>21</v>
      </c>
      <c r="C179" t="s">
        <v>22</v>
      </c>
      <c r="D179" t="s">
        <v>32</v>
      </c>
      <c r="E179" t="s">
        <v>93</v>
      </c>
      <c r="F179" t="s">
        <v>19</v>
      </c>
      <c r="G179">
        <v>1342.2</v>
      </c>
    </row>
    <row r="180" spans="1:7" x14ac:dyDescent="0.3">
      <c r="A180" t="s">
        <v>127</v>
      </c>
      <c r="B180" t="s">
        <v>35</v>
      </c>
      <c r="C180" t="s">
        <v>35</v>
      </c>
      <c r="D180" t="s">
        <v>158</v>
      </c>
      <c r="E180" t="s">
        <v>28</v>
      </c>
      <c r="F180" t="s">
        <v>19</v>
      </c>
      <c r="G180">
        <v>272.67</v>
      </c>
    </row>
    <row r="181" spans="1:7" x14ac:dyDescent="0.3">
      <c r="A181" t="s">
        <v>166</v>
      </c>
      <c r="B181" t="s">
        <v>62</v>
      </c>
      <c r="C181" t="s">
        <v>63</v>
      </c>
      <c r="D181" t="s">
        <v>53</v>
      </c>
      <c r="E181" t="s">
        <v>18</v>
      </c>
      <c r="F181" t="s">
        <v>19</v>
      </c>
      <c r="G181">
        <v>65726.240000000005</v>
      </c>
    </row>
    <row r="182" spans="1:7" x14ac:dyDescent="0.3">
      <c r="A182" t="s">
        <v>198</v>
      </c>
      <c r="B182" t="s">
        <v>9</v>
      </c>
      <c r="C182" t="s">
        <v>10</v>
      </c>
      <c r="D182" t="s">
        <v>36</v>
      </c>
      <c r="E182" t="s">
        <v>18</v>
      </c>
      <c r="F182" t="s">
        <v>100</v>
      </c>
      <c r="G182">
        <v>14952.99</v>
      </c>
    </row>
    <row r="183" spans="1:7" x14ac:dyDescent="0.3">
      <c r="A183" t="s">
        <v>161</v>
      </c>
      <c r="B183" t="s">
        <v>9</v>
      </c>
      <c r="C183" t="s">
        <v>10</v>
      </c>
      <c r="D183" t="s">
        <v>11</v>
      </c>
      <c r="E183" t="s">
        <v>26</v>
      </c>
      <c r="F183" t="s">
        <v>19</v>
      </c>
      <c r="G183">
        <v>1968.33</v>
      </c>
    </row>
    <row r="184" spans="1:7" x14ac:dyDescent="0.3">
      <c r="A184" t="s">
        <v>199</v>
      </c>
      <c r="B184" t="s">
        <v>41</v>
      </c>
      <c r="C184" t="s">
        <v>42</v>
      </c>
      <c r="D184" t="s">
        <v>32</v>
      </c>
      <c r="E184" t="s">
        <v>18</v>
      </c>
      <c r="F184" t="s">
        <v>38</v>
      </c>
      <c r="G184">
        <v>2394.86</v>
      </c>
    </row>
    <row r="185" spans="1:7" x14ac:dyDescent="0.3">
      <c r="A185" t="s">
        <v>200</v>
      </c>
      <c r="B185" t="s">
        <v>59</v>
      </c>
      <c r="C185" t="s">
        <v>60</v>
      </c>
      <c r="D185" t="s">
        <v>32</v>
      </c>
      <c r="E185" t="s">
        <v>43</v>
      </c>
      <c r="F185" t="s">
        <v>19</v>
      </c>
      <c r="G185">
        <v>3351.16</v>
      </c>
    </row>
    <row r="186" spans="1:7" x14ac:dyDescent="0.3">
      <c r="A186" t="s">
        <v>141</v>
      </c>
      <c r="B186" t="s">
        <v>62</v>
      </c>
      <c r="C186" t="s">
        <v>63</v>
      </c>
      <c r="D186" t="s">
        <v>17</v>
      </c>
      <c r="E186" t="s">
        <v>18</v>
      </c>
      <c r="F186" t="s">
        <v>137</v>
      </c>
      <c r="G186">
        <v>9.24</v>
      </c>
    </row>
    <row r="187" spans="1:7" x14ac:dyDescent="0.3">
      <c r="A187" t="s">
        <v>96</v>
      </c>
      <c r="B187" t="s">
        <v>62</v>
      </c>
      <c r="C187" t="s">
        <v>63</v>
      </c>
      <c r="D187" t="s">
        <v>17</v>
      </c>
      <c r="E187" t="s">
        <v>18</v>
      </c>
      <c r="F187" t="s">
        <v>19</v>
      </c>
      <c r="G187">
        <v>15.73</v>
      </c>
    </row>
    <row r="188" spans="1:7" x14ac:dyDescent="0.3">
      <c r="A188" t="s">
        <v>155</v>
      </c>
      <c r="B188" t="s">
        <v>21</v>
      </c>
      <c r="C188" t="s">
        <v>22</v>
      </c>
      <c r="D188" t="s">
        <v>36</v>
      </c>
      <c r="E188" t="s">
        <v>37</v>
      </c>
      <c r="F188" t="s">
        <v>64</v>
      </c>
      <c r="G188">
        <v>11902.96</v>
      </c>
    </row>
    <row r="189" spans="1:7" x14ac:dyDescent="0.3">
      <c r="A189" t="s">
        <v>201</v>
      </c>
      <c r="B189" t="s">
        <v>9</v>
      </c>
      <c r="C189" t="s">
        <v>10</v>
      </c>
      <c r="D189" t="s">
        <v>48</v>
      </c>
      <c r="E189" t="s">
        <v>18</v>
      </c>
      <c r="F189" t="s">
        <v>19</v>
      </c>
      <c r="G189">
        <v>1154.52</v>
      </c>
    </row>
    <row r="190" spans="1:7" x14ac:dyDescent="0.3">
      <c r="A190" t="s">
        <v>202</v>
      </c>
      <c r="B190" t="s">
        <v>59</v>
      </c>
      <c r="C190" t="s">
        <v>60</v>
      </c>
      <c r="D190" t="s">
        <v>48</v>
      </c>
      <c r="E190" t="s">
        <v>18</v>
      </c>
      <c r="F190" t="s">
        <v>19</v>
      </c>
      <c r="G190">
        <v>3792.73</v>
      </c>
    </row>
    <row r="191" spans="1:7" x14ac:dyDescent="0.3">
      <c r="A191" t="s">
        <v>130</v>
      </c>
      <c r="B191" t="s">
        <v>41</v>
      </c>
      <c r="C191" t="s">
        <v>42</v>
      </c>
      <c r="D191" t="s">
        <v>11</v>
      </c>
      <c r="E191" t="s">
        <v>118</v>
      </c>
      <c r="F191" t="s">
        <v>19</v>
      </c>
      <c r="G191">
        <v>495.61</v>
      </c>
    </row>
    <row r="192" spans="1:7" x14ac:dyDescent="0.3">
      <c r="A192" t="s">
        <v>203</v>
      </c>
      <c r="B192" t="s">
        <v>62</v>
      </c>
      <c r="C192" t="s">
        <v>63</v>
      </c>
      <c r="D192" t="s">
        <v>11</v>
      </c>
      <c r="E192" t="s">
        <v>114</v>
      </c>
      <c r="F192" t="s">
        <v>19</v>
      </c>
      <c r="G192">
        <v>1315.39</v>
      </c>
    </row>
    <row r="193" spans="1:7" x14ac:dyDescent="0.3">
      <c r="A193" t="s">
        <v>204</v>
      </c>
      <c r="B193" t="s">
        <v>9</v>
      </c>
      <c r="C193" t="s">
        <v>10</v>
      </c>
      <c r="D193" t="s">
        <v>36</v>
      </c>
      <c r="E193" t="s">
        <v>50</v>
      </c>
      <c r="F193" t="s">
        <v>19</v>
      </c>
      <c r="G193">
        <v>11793.29</v>
      </c>
    </row>
    <row r="194" spans="1:7" x14ac:dyDescent="0.3">
      <c r="A194" t="s">
        <v>139</v>
      </c>
      <c r="B194" t="s">
        <v>55</v>
      </c>
      <c r="C194" t="s">
        <v>56</v>
      </c>
      <c r="D194" t="s">
        <v>48</v>
      </c>
      <c r="E194" t="s">
        <v>18</v>
      </c>
      <c r="F194" t="s">
        <v>19</v>
      </c>
      <c r="G194">
        <v>7135.36</v>
      </c>
    </row>
    <row r="195" spans="1:7" x14ac:dyDescent="0.3">
      <c r="A195" t="s">
        <v>132</v>
      </c>
      <c r="B195" t="s">
        <v>24</v>
      </c>
      <c r="C195" t="s">
        <v>25</v>
      </c>
      <c r="D195" t="s">
        <v>158</v>
      </c>
      <c r="E195" t="s">
        <v>28</v>
      </c>
      <c r="F195" t="s">
        <v>19</v>
      </c>
      <c r="G195">
        <v>377.27</v>
      </c>
    </row>
    <row r="196" spans="1:7" x14ac:dyDescent="0.3">
      <c r="A196" t="s">
        <v>205</v>
      </c>
      <c r="B196" t="s">
        <v>24</v>
      </c>
      <c r="C196" t="s">
        <v>25</v>
      </c>
      <c r="D196" t="s">
        <v>32</v>
      </c>
      <c r="E196" t="s">
        <v>43</v>
      </c>
      <c r="F196" t="s">
        <v>64</v>
      </c>
      <c r="G196">
        <v>1577.72</v>
      </c>
    </row>
    <row r="197" spans="1:7" x14ac:dyDescent="0.3">
      <c r="A197" t="s">
        <v>206</v>
      </c>
      <c r="B197" t="s">
        <v>30</v>
      </c>
      <c r="C197" t="s">
        <v>31</v>
      </c>
      <c r="D197" t="s">
        <v>11</v>
      </c>
      <c r="E197" t="s">
        <v>114</v>
      </c>
      <c r="F197" t="s">
        <v>19</v>
      </c>
      <c r="G197">
        <v>878.6</v>
      </c>
    </row>
    <row r="198" spans="1:7" x14ac:dyDescent="0.3">
      <c r="A198" t="s">
        <v>207</v>
      </c>
      <c r="B198" t="s">
        <v>15</v>
      </c>
      <c r="C198" t="s">
        <v>16</v>
      </c>
      <c r="D198" t="s">
        <v>17</v>
      </c>
      <c r="E198" t="s">
        <v>18</v>
      </c>
      <c r="F198" t="s">
        <v>13</v>
      </c>
      <c r="G198">
        <v>49.22</v>
      </c>
    </row>
    <row r="199" spans="1:7" x14ac:dyDescent="0.3">
      <c r="A199" t="s">
        <v>120</v>
      </c>
      <c r="B199" t="s">
        <v>55</v>
      </c>
      <c r="C199" t="s">
        <v>56</v>
      </c>
      <c r="D199" t="s">
        <v>11</v>
      </c>
      <c r="E199" t="s">
        <v>12</v>
      </c>
      <c r="F199" t="s">
        <v>19</v>
      </c>
      <c r="G199">
        <v>44.15</v>
      </c>
    </row>
    <row r="200" spans="1:7" x14ac:dyDescent="0.3">
      <c r="A200" t="s">
        <v>207</v>
      </c>
      <c r="B200" t="s">
        <v>15</v>
      </c>
      <c r="C200" t="s">
        <v>16</v>
      </c>
      <c r="D200" t="s">
        <v>11</v>
      </c>
      <c r="E200" t="s">
        <v>114</v>
      </c>
      <c r="F200" t="s">
        <v>100</v>
      </c>
      <c r="G200">
        <v>1593.47</v>
      </c>
    </row>
    <row r="201" spans="1:7" x14ac:dyDescent="0.3">
      <c r="A201" t="s">
        <v>167</v>
      </c>
      <c r="B201" t="s">
        <v>62</v>
      </c>
      <c r="C201" t="s">
        <v>63</v>
      </c>
      <c r="D201" t="s">
        <v>36</v>
      </c>
      <c r="E201" t="s">
        <v>50</v>
      </c>
      <c r="F201" t="s">
        <v>19</v>
      </c>
      <c r="G201">
        <v>6845.42</v>
      </c>
    </row>
    <row r="202" spans="1:7" x14ac:dyDescent="0.3">
      <c r="A202" t="s">
        <v>208</v>
      </c>
      <c r="B202" t="s">
        <v>15</v>
      </c>
      <c r="C202" t="s">
        <v>16</v>
      </c>
      <c r="D202" t="s">
        <v>32</v>
      </c>
      <c r="E202" t="s">
        <v>28</v>
      </c>
      <c r="F202" t="s">
        <v>64</v>
      </c>
      <c r="G202">
        <v>3295.81</v>
      </c>
    </row>
    <row r="203" spans="1:7" x14ac:dyDescent="0.3">
      <c r="A203" t="s">
        <v>133</v>
      </c>
      <c r="B203" t="s">
        <v>62</v>
      </c>
      <c r="C203" t="s">
        <v>63</v>
      </c>
      <c r="D203" t="s">
        <v>32</v>
      </c>
      <c r="E203" t="s">
        <v>18</v>
      </c>
      <c r="F203" t="s">
        <v>13</v>
      </c>
      <c r="G203">
        <v>4258.3</v>
      </c>
    </row>
    <row r="204" spans="1:7" x14ac:dyDescent="0.3">
      <c r="A204" t="s">
        <v>153</v>
      </c>
      <c r="B204" t="s">
        <v>15</v>
      </c>
      <c r="C204" t="s">
        <v>16</v>
      </c>
      <c r="D204" t="s">
        <v>11</v>
      </c>
      <c r="E204" t="s">
        <v>18</v>
      </c>
      <c r="F204" t="s">
        <v>19</v>
      </c>
      <c r="G204">
        <v>1013.48</v>
      </c>
    </row>
    <row r="205" spans="1:7" x14ac:dyDescent="0.3">
      <c r="A205" t="s">
        <v>209</v>
      </c>
      <c r="B205" t="s">
        <v>62</v>
      </c>
      <c r="C205" t="s">
        <v>63</v>
      </c>
      <c r="D205" t="s">
        <v>11</v>
      </c>
      <c r="E205" t="s">
        <v>18</v>
      </c>
      <c r="F205" t="s">
        <v>137</v>
      </c>
      <c r="G205">
        <v>813.97</v>
      </c>
    </row>
    <row r="206" spans="1:7" x14ac:dyDescent="0.3">
      <c r="A206" t="s">
        <v>49</v>
      </c>
      <c r="B206" t="s">
        <v>30</v>
      </c>
      <c r="C206" t="s">
        <v>31</v>
      </c>
      <c r="D206" t="s">
        <v>11</v>
      </c>
      <c r="E206" t="s">
        <v>18</v>
      </c>
      <c r="F206" t="s">
        <v>137</v>
      </c>
      <c r="G206">
        <v>1080.74</v>
      </c>
    </row>
    <row r="207" spans="1:7" x14ac:dyDescent="0.3">
      <c r="A207" t="s">
        <v>95</v>
      </c>
      <c r="B207" t="s">
        <v>21</v>
      </c>
      <c r="C207" t="s">
        <v>22</v>
      </c>
      <c r="D207" t="s">
        <v>36</v>
      </c>
      <c r="E207" t="s">
        <v>37</v>
      </c>
      <c r="F207" t="s">
        <v>19</v>
      </c>
      <c r="G207">
        <v>12406.59</v>
      </c>
    </row>
    <row r="208" spans="1:7" x14ac:dyDescent="0.3">
      <c r="A208" t="s">
        <v>129</v>
      </c>
      <c r="B208" t="s">
        <v>15</v>
      </c>
      <c r="C208" t="s">
        <v>16</v>
      </c>
      <c r="D208" t="s">
        <v>50</v>
      </c>
      <c r="E208" t="s">
        <v>50</v>
      </c>
      <c r="F208" t="s">
        <v>19</v>
      </c>
      <c r="G208">
        <v>45028.83</v>
      </c>
    </row>
    <row r="209" spans="1:7" x14ac:dyDescent="0.3">
      <c r="A209" t="s">
        <v>210</v>
      </c>
      <c r="B209" t="s">
        <v>21</v>
      </c>
      <c r="C209" t="s">
        <v>22</v>
      </c>
      <c r="D209" t="s">
        <v>32</v>
      </c>
      <c r="E209" t="s">
        <v>108</v>
      </c>
      <c r="F209" t="s">
        <v>137</v>
      </c>
      <c r="G209">
        <v>2533.38</v>
      </c>
    </row>
    <row r="210" spans="1:7" x14ac:dyDescent="0.3">
      <c r="A210" t="s">
        <v>144</v>
      </c>
      <c r="B210" t="s">
        <v>30</v>
      </c>
      <c r="C210" t="s">
        <v>31</v>
      </c>
      <c r="D210" t="s">
        <v>17</v>
      </c>
      <c r="E210" t="s">
        <v>18</v>
      </c>
      <c r="F210" t="s">
        <v>19</v>
      </c>
      <c r="G210">
        <v>37.72</v>
      </c>
    </row>
    <row r="211" spans="1:7" x14ac:dyDescent="0.3">
      <c r="A211" t="s">
        <v>199</v>
      </c>
      <c r="B211" t="s">
        <v>41</v>
      </c>
      <c r="C211" t="s">
        <v>42</v>
      </c>
      <c r="D211" t="s">
        <v>36</v>
      </c>
      <c r="E211" t="s">
        <v>37</v>
      </c>
      <c r="F211" t="s">
        <v>19</v>
      </c>
      <c r="G211">
        <v>1566.34</v>
      </c>
    </row>
    <row r="212" spans="1:7" x14ac:dyDescent="0.3">
      <c r="A212" t="s">
        <v>211</v>
      </c>
      <c r="B212" t="s">
        <v>55</v>
      </c>
      <c r="C212" t="s">
        <v>56</v>
      </c>
      <c r="D212" t="s">
        <v>32</v>
      </c>
      <c r="E212" t="s">
        <v>108</v>
      </c>
      <c r="F212" t="s">
        <v>137</v>
      </c>
      <c r="G212">
        <v>4454.67</v>
      </c>
    </row>
    <row r="213" spans="1:7" x14ac:dyDescent="0.3">
      <c r="A213" t="s">
        <v>212</v>
      </c>
      <c r="B213" t="s">
        <v>24</v>
      </c>
      <c r="C213" t="s">
        <v>25</v>
      </c>
      <c r="D213" t="s">
        <v>36</v>
      </c>
      <c r="E213" t="s">
        <v>18</v>
      </c>
      <c r="F213" t="s">
        <v>13</v>
      </c>
      <c r="G213">
        <v>2349.98</v>
      </c>
    </row>
    <row r="214" spans="1:7" x14ac:dyDescent="0.3">
      <c r="A214" t="s">
        <v>46</v>
      </c>
      <c r="B214" t="s">
        <v>35</v>
      </c>
      <c r="C214" t="s">
        <v>35</v>
      </c>
      <c r="D214" t="s">
        <v>32</v>
      </c>
      <c r="E214" t="s">
        <v>93</v>
      </c>
      <c r="F214" t="s">
        <v>13</v>
      </c>
      <c r="G214">
        <v>3936.35</v>
      </c>
    </row>
    <row r="215" spans="1:7" x14ac:dyDescent="0.3">
      <c r="A215" t="s">
        <v>105</v>
      </c>
      <c r="B215" t="s">
        <v>41</v>
      </c>
      <c r="C215" t="s">
        <v>42</v>
      </c>
      <c r="D215" t="s">
        <v>32</v>
      </c>
      <c r="E215" t="s">
        <v>18</v>
      </c>
      <c r="F215" t="s">
        <v>64</v>
      </c>
      <c r="G215">
        <v>3964.65</v>
      </c>
    </row>
    <row r="216" spans="1:7" x14ac:dyDescent="0.3">
      <c r="A216" t="s">
        <v>153</v>
      </c>
      <c r="B216" t="s">
        <v>15</v>
      </c>
      <c r="C216" t="s">
        <v>16</v>
      </c>
      <c r="D216" t="s">
        <v>32</v>
      </c>
      <c r="E216" t="s">
        <v>93</v>
      </c>
      <c r="F216" t="s">
        <v>13</v>
      </c>
      <c r="G216">
        <v>3353.07</v>
      </c>
    </row>
    <row r="217" spans="1:7" x14ac:dyDescent="0.3">
      <c r="A217" t="s">
        <v>165</v>
      </c>
      <c r="B217" t="s">
        <v>62</v>
      </c>
      <c r="C217" t="s">
        <v>63</v>
      </c>
      <c r="D217" t="s">
        <v>50</v>
      </c>
      <c r="E217" t="s">
        <v>50</v>
      </c>
      <c r="F217" t="s">
        <v>19</v>
      </c>
      <c r="G217">
        <v>31108.14</v>
      </c>
    </row>
    <row r="218" spans="1:7" x14ac:dyDescent="0.3">
      <c r="A218" t="s">
        <v>213</v>
      </c>
      <c r="B218" t="s">
        <v>15</v>
      </c>
      <c r="C218" t="s">
        <v>16</v>
      </c>
      <c r="D218" t="s">
        <v>32</v>
      </c>
      <c r="E218" t="s">
        <v>93</v>
      </c>
      <c r="F218" t="s">
        <v>13</v>
      </c>
      <c r="G218">
        <v>1136.6400000000001</v>
      </c>
    </row>
    <row r="219" spans="1:7" x14ac:dyDescent="0.3">
      <c r="A219" t="s">
        <v>169</v>
      </c>
      <c r="B219" t="s">
        <v>35</v>
      </c>
      <c r="C219" t="s">
        <v>35</v>
      </c>
      <c r="D219" t="s">
        <v>32</v>
      </c>
      <c r="E219" t="s">
        <v>18</v>
      </c>
      <c r="F219" t="s">
        <v>19</v>
      </c>
      <c r="G219">
        <v>1644.04</v>
      </c>
    </row>
    <row r="220" spans="1:7" x14ac:dyDescent="0.3">
      <c r="A220" t="s">
        <v>125</v>
      </c>
      <c r="B220" t="s">
        <v>21</v>
      </c>
      <c r="C220" t="s">
        <v>22</v>
      </c>
      <c r="D220" t="s">
        <v>50</v>
      </c>
      <c r="E220" t="s">
        <v>50</v>
      </c>
      <c r="F220" t="s">
        <v>19</v>
      </c>
      <c r="G220">
        <v>11713.41</v>
      </c>
    </row>
    <row r="221" spans="1:7" x14ac:dyDescent="0.3">
      <c r="A221" t="s">
        <v>143</v>
      </c>
      <c r="B221" t="s">
        <v>62</v>
      </c>
      <c r="C221" t="s">
        <v>63</v>
      </c>
      <c r="D221" t="s">
        <v>11</v>
      </c>
      <c r="E221" t="s">
        <v>12</v>
      </c>
      <c r="F221" t="s">
        <v>137</v>
      </c>
      <c r="G221">
        <v>118.71</v>
      </c>
    </row>
    <row r="222" spans="1:7" x14ac:dyDescent="0.3">
      <c r="A222" t="s">
        <v>192</v>
      </c>
      <c r="B222" t="s">
        <v>55</v>
      </c>
      <c r="C222" t="s">
        <v>56</v>
      </c>
      <c r="D222" t="s">
        <v>36</v>
      </c>
      <c r="E222" t="s">
        <v>37</v>
      </c>
      <c r="F222" t="s">
        <v>19</v>
      </c>
      <c r="G222">
        <v>11240.18</v>
      </c>
    </row>
    <row r="223" spans="1:7" x14ac:dyDescent="0.3">
      <c r="A223" t="s">
        <v>214</v>
      </c>
      <c r="B223" t="s">
        <v>35</v>
      </c>
      <c r="C223" t="s">
        <v>35</v>
      </c>
      <c r="D223" t="s">
        <v>48</v>
      </c>
      <c r="E223" t="s">
        <v>18</v>
      </c>
      <c r="F223" t="s">
        <v>19</v>
      </c>
      <c r="G223">
        <v>3015.29</v>
      </c>
    </row>
    <row r="224" spans="1:7" x14ac:dyDescent="0.3">
      <c r="A224" t="s">
        <v>34</v>
      </c>
      <c r="B224" t="s">
        <v>35</v>
      </c>
      <c r="C224" t="s">
        <v>35</v>
      </c>
      <c r="D224" t="s">
        <v>17</v>
      </c>
      <c r="E224" t="s">
        <v>18</v>
      </c>
      <c r="F224" t="s">
        <v>64</v>
      </c>
      <c r="G224">
        <v>26.05</v>
      </c>
    </row>
    <row r="225" spans="1:7" x14ac:dyDescent="0.3">
      <c r="A225" t="s">
        <v>99</v>
      </c>
      <c r="B225" t="s">
        <v>35</v>
      </c>
      <c r="C225" t="s">
        <v>35</v>
      </c>
      <c r="D225" t="s">
        <v>11</v>
      </c>
      <c r="E225" t="s">
        <v>118</v>
      </c>
      <c r="F225" t="s">
        <v>19</v>
      </c>
      <c r="G225">
        <v>1122.24</v>
      </c>
    </row>
    <row r="226" spans="1:7" x14ac:dyDescent="0.3">
      <c r="A226" t="s">
        <v>190</v>
      </c>
      <c r="B226" t="s">
        <v>21</v>
      </c>
      <c r="C226" t="s">
        <v>22</v>
      </c>
      <c r="D226" t="s">
        <v>11</v>
      </c>
      <c r="E226" t="s">
        <v>18</v>
      </c>
      <c r="F226" t="s">
        <v>19</v>
      </c>
      <c r="G226">
        <v>772.36</v>
      </c>
    </row>
    <row r="227" spans="1:7" x14ac:dyDescent="0.3">
      <c r="A227" t="s">
        <v>168</v>
      </c>
      <c r="B227" t="s">
        <v>24</v>
      </c>
      <c r="C227" t="s">
        <v>25</v>
      </c>
      <c r="D227" t="s">
        <v>32</v>
      </c>
      <c r="E227" t="s">
        <v>93</v>
      </c>
      <c r="F227" t="s">
        <v>137</v>
      </c>
      <c r="G227">
        <v>1084.46</v>
      </c>
    </row>
    <row r="228" spans="1:7" x14ac:dyDescent="0.3">
      <c r="A228" t="s">
        <v>174</v>
      </c>
      <c r="B228" t="s">
        <v>21</v>
      </c>
      <c r="C228" t="s">
        <v>22</v>
      </c>
      <c r="D228" t="s">
        <v>11</v>
      </c>
      <c r="E228" t="s">
        <v>28</v>
      </c>
      <c r="F228" t="s">
        <v>19</v>
      </c>
      <c r="G228">
        <v>294.12</v>
      </c>
    </row>
    <row r="229" spans="1:7" x14ac:dyDescent="0.3">
      <c r="A229" t="s">
        <v>148</v>
      </c>
      <c r="B229" t="s">
        <v>59</v>
      </c>
      <c r="C229" t="s">
        <v>60</v>
      </c>
      <c r="D229" t="s">
        <v>32</v>
      </c>
      <c r="E229" t="s">
        <v>33</v>
      </c>
      <c r="F229" t="s">
        <v>137</v>
      </c>
      <c r="G229">
        <v>465.39</v>
      </c>
    </row>
    <row r="230" spans="1:7" x14ac:dyDescent="0.3">
      <c r="A230" t="s">
        <v>215</v>
      </c>
      <c r="B230" t="s">
        <v>30</v>
      </c>
      <c r="C230" t="s">
        <v>31</v>
      </c>
      <c r="D230" t="s">
        <v>50</v>
      </c>
      <c r="E230" t="s">
        <v>50</v>
      </c>
      <c r="F230" t="s">
        <v>19</v>
      </c>
      <c r="G230">
        <v>5207.7700000000004</v>
      </c>
    </row>
    <row r="231" spans="1:7" x14ac:dyDescent="0.3">
      <c r="A231" t="s">
        <v>136</v>
      </c>
      <c r="B231" t="s">
        <v>30</v>
      </c>
      <c r="C231" t="s">
        <v>31</v>
      </c>
      <c r="D231" t="s">
        <v>11</v>
      </c>
      <c r="E231" t="s">
        <v>118</v>
      </c>
      <c r="F231" t="s">
        <v>100</v>
      </c>
      <c r="G231">
        <v>83.11</v>
      </c>
    </row>
    <row r="232" spans="1:7" x14ac:dyDescent="0.3">
      <c r="A232" t="s">
        <v>196</v>
      </c>
      <c r="B232" t="s">
        <v>59</v>
      </c>
      <c r="C232" t="s">
        <v>60</v>
      </c>
      <c r="D232" t="s">
        <v>32</v>
      </c>
      <c r="E232" t="s">
        <v>103</v>
      </c>
      <c r="F232" t="s">
        <v>19</v>
      </c>
      <c r="G232">
        <v>390.2</v>
      </c>
    </row>
    <row r="233" spans="1:7" x14ac:dyDescent="0.3">
      <c r="A233" t="s">
        <v>39</v>
      </c>
      <c r="B233" t="s">
        <v>24</v>
      </c>
      <c r="C233" t="s">
        <v>25</v>
      </c>
      <c r="D233" t="s">
        <v>17</v>
      </c>
      <c r="E233" t="s">
        <v>18</v>
      </c>
      <c r="F233" t="s">
        <v>19</v>
      </c>
      <c r="G233">
        <v>28.65</v>
      </c>
    </row>
    <row r="234" spans="1:7" x14ac:dyDescent="0.3">
      <c r="A234" t="s">
        <v>202</v>
      </c>
      <c r="B234" t="s">
        <v>59</v>
      </c>
      <c r="C234" t="s">
        <v>60</v>
      </c>
      <c r="D234" t="s">
        <v>48</v>
      </c>
      <c r="E234" t="s">
        <v>18</v>
      </c>
      <c r="F234" t="s">
        <v>19</v>
      </c>
      <c r="G234">
        <v>750.06</v>
      </c>
    </row>
    <row r="235" spans="1:7" x14ac:dyDescent="0.3">
      <c r="A235" t="s">
        <v>216</v>
      </c>
      <c r="B235" t="s">
        <v>55</v>
      </c>
      <c r="C235" t="s">
        <v>56</v>
      </c>
      <c r="D235" t="s">
        <v>48</v>
      </c>
      <c r="E235" t="s">
        <v>18</v>
      </c>
      <c r="F235" t="s">
        <v>19</v>
      </c>
      <c r="G235">
        <v>8954.81</v>
      </c>
    </row>
    <row r="236" spans="1:7" x14ac:dyDescent="0.3">
      <c r="A236" t="s">
        <v>112</v>
      </c>
      <c r="B236" t="s">
        <v>15</v>
      </c>
      <c r="C236" t="s">
        <v>16</v>
      </c>
      <c r="D236" t="s">
        <v>36</v>
      </c>
      <c r="E236" t="s">
        <v>50</v>
      </c>
      <c r="F236" t="s">
        <v>19</v>
      </c>
      <c r="G236">
        <v>11385.42</v>
      </c>
    </row>
    <row r="237" spans="1:7" x14ac:dyDescent="0.3">
      <c r="A237" t="s">
        <v>134</v>
      </c>
      <c r="B237" t="s">
        <v>35</v>
      </c>
      <c r="C237" t="s">
        <v>35</v>
      </c>
      <c r="D237" t="s">
        <v>50</v>
      </c>
      <c r="E237" t="s">
        <v>50</v>
      </c>
      <c r="F237" t="s">
        <v>38</v>
      </c>
      <c r="G237">
        <v>46504.67</v>
      </c>
    </row>
    <row r="238" spans="1:7" x14ac:dyDescent="0.3">
      <c r="A238" t="s">
        <v>101</v>
      </c>
      <c r="B238" t="s">
        <v>21</v>
      </c>
      <c r="C238" t="s">
        <v>22</v>
      </c>
      <c r="D238" t="s">
        <v>48</v>
      </c>
      <c r="E238" t="s">
        <v>18</v>
      </c>
      <c r="F238" t="s">
        <v>13</v>
      </c>
      <c r="G238">
        <v>7143.22</v>
      </c>
    </row>
    <row r="239" spans="1:7" x14ac:dyDescent="0.3">
      <c r="A239" t="s">
        <v>183</v>
      </c>
      <c r="B239" t="s">
        <v>24</v>
      </c>
      <c r="C239" t="s">
        <v>25</v>
      </c>
      <c r="D239" t="s">
        <v>11</v>
      </c>
      <c r="E239" t="s">
        <v>28</v>
      </c>
      <c r="F239" t="s">
        <v>19</v>
      </c>
      <c r="G239">
        <v>535.37</v>
      </c>
    </row>
    <row r="240" spans="1:7" x14ac:dyDescent="0.3">
      <c r="A240" t="s">
        <v>129</v>
      </c>
      <c r="B240" t="s">
        <v>15</v>
      </c>
      <c r="C240" t="s">
        <v>16</v>
      </c>
      <c r="D240" t="s">
        <v>48</v>
      </c>
      <c r="E240" t="s">
        <v>18</v>
      </c>
      <c r="F240" t="s">
        <v>137</v>
      </c>
      <c r="G240">
        <v>5364.02</v>
      </c>
    </row>
    <row r="241" spans="1:7" x14ac:dyDescent="0.3">
      <c r="A241" t="s">
        <v>153</v>
      </c>
      <c r="B241" t="s">
        <v>15</v>
      </c>
      <c r="C241" t="s">
        <v>16</v>
      </c>
      <c r="D241" t="s">
        <v>36</v>
      </c>
      <c r="E241" t="s">
        <v>37</v>
      </c>
      <c r="F241" t="s">
        <v>137</v>
      </c>
      <c r="G241">
        <v>8896.9699999999993</v>
      </c>
    </row>
    <row r="242" spans="1:7" x14ac:dyDescent="0.3">
      <c r="A242" t="s">
        <v>20</v>
      </c>
      <c r="B242" t="s">
        <v>21</v>
      </c>
      <c r="C242" t="s">
        <v>22</v>
      </c>
      <c r="D242" t="s">
        <v>50</v>
      </c>
      <c r="E242" t="s">
        <v>50</v>
      </c>
      <c r="F242" t="s">
        <v>64</v>
      </c>
      <c r="G242">
        <v>25333.86</v>
      </c>
    </row>
    <row r="243" spans="1:7" x14ac:dyDescent="0.3">
      <c r="A243" t="s">
        <v>217</v>
      </c>
      <c r="B243" t="s">
        <v>55</v>
      </c>
      <c r="C243" t="s">
        <v>56</v>
      </c>
      <c r="D243" t="s">
        <v>32</v>
      </c>
      <c r="E243" t="s">
        <v>43</v>
      </c>
      <c r="F243" t="s">
        <v>13</v>
      </c>
      <c r="G243">
        <v>260.41000000000003</v>
      </c>
    </row>
    <row r="244" spans="1:7" x14ac:dyDescent="0.3">
      <c r="A244" t="s">
        <v>218</v>
      </c>
      <c r="B244" t="s">
        <v>35</v>
      </c>
      <c r="C244" t="s">
        <v>35</v>
      </c>
      <c r="D244" t="s">
        <v>32</v>
      </c>
      <c r="E244" t="s">
        <v>103</v>
      </c>
      <c r="F244" t="s">
        <v>19</v>
      </c>
      <c r="G244">
        <v>250.18</v>
      </c>
    </row>
    <row r="245" spans="1:7" x14ac:dyDescent="0.3">
      <c r="A245" t="s">
        <v>124</v>
      </c>
      <c r="B245" t="s">
        <v>62</v>
      </c>
      <c r="C245" t="s">
        <v>63</v>
      </c>
      <c r="D245" t="s">
        <v>32</v>
      </c>
      <c r="E245" t="s">
        <v>43</v>
      </c>
      <c r="F245" t="s">
        <v>19</v>
      </c>
      <c r="G245">
        <v>132.31</v>
      </c>
    </row>
    <row r="246" spans="1:7" x14ac:dyDescent="0.3">
      <c r="A246" t="s">
        <v>49</v>
      </c>
      <c r="B246" t="s">
        <v>30</v>
      </c>
      <c r="C246" t="s">
        <v>31</v>
      </c>
      <c r="D246" t="s">
        <v>32</v>
      </c>
      <c r="E246" t="s">
        <v>43</v>
      </c>
      <c r="F246" t="s">
        <v>19</v>
      </c>
      <c r="G246">
        <v>2111.42</v>
      </c>
    </row>
    <row r="247" spans="1:7" x14ac:dyDescent="0.3">
      <c r="A247" t="s">
        <v>97</v>
      </c>
      <c r="B247" t="s">
        <v>21</v>
      </c>
      <c r="C247" t="s">
        <v>22</v>
      </c>
      <c r="D247" t="s">
        <v>17</v>
      </c>
      <c r="E247" t="s">
        <v>18</v>
      </c>
      <c r="F247" t="s">
        <v>13</v>
      </c>
      <c r="G247">
        <v>13.73</v>
      </c>
    </row>
    <row r="248" spans="1:7" x14ac:dyDescent="0.3">
      <c r="A248" t="s">
        <v>129</v>
      </c>
      <c r="B248" t="s">
        <v>15</v>
      </c>
      <c r="C248" t="s">
        <v>16</v>
      </c>
      <c r="D248" t="s">
        <v>50</v>
      </c>
      <c r="E248" t="s">
        <v>50</v>
      </c>
      <c r="F248" t="s">
        <v>19</v>
      </c>
      <c r="G248">
        <v>36039.519999999997</v>
      </c>
    </row>
    <row r="249" spans="1:7" x14ac:dyDescent="0.3">
      <c r="A249" t="s">
        <v>219</v>
      </c>
      <c r="B249" t="s">
        <v>62</v>
      </c>
      <c r="C249" t="s">
        <v>63</v>
      </c>
      <c r="D249" t="s">
        <v>11</v>
      </c>
      <c r="E249" t="s">
        <v>12</v>
      </c>
      <c r="F249" t="s">
        <v>13</v>
      </c>
      <c r="G249">
        <v>1130.6400000000001</v>
      </c>
    </row>
    <row r="250" spans="1:7" x14ac:dyDescent="0.3">
      <c r="A250" t="s">
        <v>157</v>
      </c>
      <c r="B250" t="s">
        <v>24</v>
      </c>
      <c r="C250" t="s">
        <v>25</v>
      </c>
      <c r="D250" t="s">
        <v>158</v>
      </c>
      <c r="E250" t="s">
        <v>28</v>
      </c>
      <c r="F250" t="s">
        <v>19</v>
      </c>
      <c r="G250">
        <v>52.68</v>
      </c>
    </row>
    <row r="251" spans="1:7" x14ac:dyDescent="0.3">
      <c r="A251" t="s">
        <v>142</v>
      </c>
      <c r="B251" t="s">
        <v>35</v>
      </c>
      <c r="C251" t="s">
        <v>35</v>
      </c>
      <c r="D251" t="s">
        <v>11</v>
      </c>
      <c r="E251" t="s">
        <v>18</v>
      </c>
      <c r="F251" t="s">
        <v>19</v>
      </c>
      <c r="G251">
        <v>1800.66</v>
      </c>
    </row>
    <row r="252" spans="1:7" x14ac:dyDescent="0.3">
      <c r="A252" t="s">
        <v>220</v>
      </c>
      <c r="B252" t="s">
        <v>24</v>
      </c>
      <c r="C252" t="s">
        <v>25</v>
      </c>
      <c r="D252" t="s">
        <v>11</v>
      </c>
      <c r="E252" t="s">
        <v>18</v>
      </c>
      <c r="F252" t="s">
        <v>64</v>
      </c>
      <c r="G252">
        <v>322.10000000000002</v>
      </c>
    </row>
    <row r="253" spans="1:7" x14ac:dyDescent="0.3">
      <c r="A253" t="s">
        <v>221</v>
      </c>
      <c r="B253" t="s">
        <v>41</v>
      </c>
      <c r="C253" t="s">
        <v>42</v>
      </c>
      <c r="D253" t="s">
        <v>32</v>
      </c>
      <c r="E253" t="s">
        <v>103</v>
      </c>
      <c r="F253" t="s">
        <v>19</v>
      </c>
      <c r="G253">
        <v>3467.84</v>
      </c>
    </row>
    <row r="254" spans="1:7" x14ac:dyDescent="0.3">
      <c r="A254" t="s">
        <v>20</v>
      </c>
      <c r="B254" t="s">
        <v>21</v>
      </c>
      <c r="C254" t="s">
        <v>22</v>
      </c>
      <c r="D254" t="s">
        <v>17</v>
      </c>
      <c r="E254" t="s">
        <v>18</v>
      </c>
      <c r="F254" t="s">
        <v>19</v>
      </c>
      <c r="G254">
        <v>39.81</v>
      </c>
    </row>
    <row r="255" spans="1:7" x14ac:dyDescent="0.3">
      <c r="A255" t="s">
        <v>117</v>
      </c>
      <c r="B255" t="s">
        <v>24</v>
      </c>
      <c r="C255" t="s">
        <v>25</v>
      </c>
      <c r="D255" t="s">
        <v>36</v>
      </c>
      <c r="E255" t="s">
        <v>18</v>
      </c>
      <c r="F255" t="s">
        <v>19</v>
      </c>
      <c r="G255">
        <v>6418.61</v>
      </c>
    </row>
    <row r="256" spans="1:7" x14ac:dyDescent="0.3">
      <c r="A256" t="s">
        <v>164</v>
      </c>
      <c r="B256" t="s">
        <v>24</v>
      </c>
      <c r="C256" t="s">
        <v>25</v>
      </c>
      <c r="D256" t="s">
        <v>11</v>
      </c>
      <c r="E256" t="s">
        <v>28</v>
      </c>
      <c r="F256" t="s">
        <v>13</v>
      </c>
      <c r="G256">
        <v>356.43</v>
      </c>
    </row>
    <row r="257" spans="1:7" x14ac:dyDescent="0.3">
      <c r="A257" t="s">
        <v>126</v>
      </c>
      <c r="B257" t="s">
        <v>55</v>
      </c>
      <c r="C257" t="s">
        <v>56</v>
      </c>
      <c r="D257" t="s">
        <v>32</v>
      </c>
      <c r="E257" t="s">
        <v>43</v>
      </c>
      <c r="F257" t="s">
        <v>13</v>
      </c>
      <c r="G257">
        <v>2623.07</v>
      </c>
    </row>
    <row r="258" spans="1:7" x14ac:dyDescent="0.3">
      <c r="A258" t="s">
        <v>222</v>
      </c>
      <c r="B258" t="s">
        <v>24</v>
      </c>
      <c r="C258" t="s">
        <v>25</v>
      </c>
      <c r="D258" t="s">
        <v>53</v>
      </c>
      <c r="E258" t="s">
        <v>18</v>
      </c>
      <c r="F258" t="s">
        <v>13</v>
      </c>
      <c r="G258">
        <v>32110.93</v>
      </c>
    </row>
    <row r="259" spans="1:7" x14ac:dyDescent="0.3">
      <c r="A259" t="s">
        <v>95</v>
      </c>
      <c r="B259" t="s">
        <v>21</v>
      </c>
      <c r="C259" t="s">
        <v>22</v>
      </c>
      <c r="D259" t="s">
        <v>48</v>
      </c>
      <c r="E259" t="s">
        <v>18</v>
      </c>
      <c r="F259" t="s">
        <v>13</v>
      </c>
      <c r="G259">
        <v>301.02999999999997</v>
      </c>
    </row>
    <row r="260" spans="1:7" x14ac:dyDescent="0.3">
      <c r="A260" t="s">
        <v>101</v>
      </c>
      <c r="B260" t="s">
        <v>21</v>
      </c>
      <c r="C260" t="s">
        <v>22</v>
      </c>
      <c r="D260" t="s">
        <v>17</v>
      </c>
      <c r="E260" t="s">
        <v>18</v>
      </c>
      <c r="F260" t="s">
        <v>13</v>
      </c>
      <c r="G260">
        <v>41.65</v>
      </c>
    </row>
    <row r="261" spans="1:7" x14ac:dyDescent="0.3">
      <c r="A261" t="s">
        <v>178</v>
      </c>
      <c r="B261" t="s">
        <v>24</v>
      </c>
      <c r="C261" t="s">
        <v>25</v>
      </c>
      <c r="D261" t="s">
        <v>48</v>
      </c>
      <c r="E261" t="s">
        <v>18</v>
      </c>
      <c r="F261" t="s">
        <v>19</v>
      </c>
      <c r="G261">
        <v>1574.62</v>
      </c>
    </row>
    <row r="262" spans="1:7" x14ac:dyDescent="0.3">
      <c r="A262" t="s">
        <v>223</v>
      </c>
      <c r="B262" t="s">
        <v>41</v>
      </c>
      <c r="C262" t="s">
        <v>42</v>
      </c>
      <c r="D262" t="s">
        <v>17</v>
      </c>
      <c r="E262" t="s">
        <v>18</v>
      </c>
      <c r="F262" t="s">
        <v>19</v>
      </c>
      <c r="G262">
        <v>49.69</v>
      </c>
    </row>
    <row r="263" spans="1:7" x14ac:dyDescent="0.3">
      <c r="A263" t="s">
        <v>123</v>
      </c>
      <c r="B263" t="s">
        <v>24</v>
      </c>
      <c r="C263" t="s">
        <v>25</v>
      </c>
      <c r="D263" t="s">
        <v>11</v>
      </c>
      <c r="E263" t="s">
        <v>12</v>
      </c>
      <c r="F263" t="s">
        <v>19</v>
      </c>
      <c r="G263">
        <v>1228.6400000000001</v>
      </c>
    </row>
    <row r="264" spans="1:7" x14ac:dyDescent="0.3">
      <c r="A264" t="s">
        <v>214</v>
      </c>
      <c r="B264" t="s">
        <v>35</v>
      </c>
      <c r="C264" t="s">
        <v>35</v>
      </c>
      <c r="D264" t="s">
        <v>32</v>
      </c>
      <c r="E264" t="s">
        <v>33</v>
      </c>
      <c r="F264" t="s">
        <v>100</v>
      </c>
      <c r="G264">
        <v>1430.2</v>
      </c>
    </row>
    <row r="265" spans="1:7" x14ac:dyDescent="0.3">
      <c r="A265" t="s">
        <v>107</v>
      </c>
      <c r="B265" t="s">
        <v>24</v>
      </c>
      <c r="C265" t="s">
        <v>25</v>
      </c>
      <c r="D265" t="s">
        <v>48</v>
      </c>
      <c r="E265" t="s">
        <v>18</v>
      </c>
      <c r="F265" t="s">
        <v>19</v>
      </c>
      <c r="G265">
        <v>5611.11</v>
      </c>
    </row>
    <row r="266" spans="1:7" x14ac:dyDescent="0.3">
      <c r="A266" t="s">
        <v>224</v>
      </c>
      <c r="B266" t="s">
        <v>30</v>
      </c>
      <c r="C266" t="s">
        <v>31</v>
      </c>
      <c r="D266" t="s">
        <v>17</v>
      </c>
      <c r="E266" t="s">
        <v>18</v>
      </c>
      <c r="F266" t="s">
        <v>137</v>
      </c>
      <c r="G266">
        <v>47.15</v>
      </c>
    </row>
    <row r="267" spans="1:7" x14ac:dyDescent="0.3">
      <c r="A267" t="s">
        <v>209</v>
      </c>
      <c r="B267" t="s">
        <v>62</v>
      </c>
      <c r="C267" t="s">
        <v>63</v>
      </c>
      <c r="D267" t="s">
        <v>32</v>
      </c>
      <c r="E267" t="s">
        <v>28</v>
      </c>
      <c r="F267" t="s">
        <v>137</v>
      </c>
      <c r="G267">
        <v>4991.18</v>
      </c>
    </row>
    <row r="268" spans="1:7" x14ac:dyDescent="0.3">
      <c r="A268" t="s">
        <v>145</v>
      </c>
      <c r="B268" t="s">
        <v>55</v>
      </c>
      <c r="C268" t="s">
        <v>56</v>
      </c>
      <c r="D268" t="s">
        <v>32</v>
      </c>
      <c r="E268" t="s">
        <v>28</v>
      </c>
      <c r="F268" t="s">
        <v>19</v>
      </c>
      <c r="G268">
        <v>2537.4699999999998</v>
      </c>
    </row>
    <row r="269" spans="1:7" x14ac:dyDescent="0.3">
      <c r="A269" t="s">
        <v>225</v>
      </c>
      <c r="B269" t="s">
        <v>30</v>
      </c>
      <c r="C269" t="s">
        <v>31</v>
      </c>
      <c r="D269" t="s">
        <v>32</v>
      </c>
      <c r="E269" t="s">
        <v>93</v>
      </c>
      <c r="F269" t="s">
        <v>13</v>
      </c>
      <c r="G269">
        <v>1655.25</v>
      </c>
    </row>
    <row r="270" spans="1:7" x14ac:dyDescent="0.3">
      <c r="A270" t="s">
        <v>226</v>
      </c>
      <c r="B270" t="s">
        <v>24</v>
      </c>
      <c r="C270" t="s">
        <v>25</v>
      </c>
      <c r="D270" t="s">
        <v>11</v>
      </c>
      <c r="E270" t="s">
        <v>18</v>
      </c>
      <c r="F270" t="s">
        <v>19</v>
      </c>
      <c r="G270">
        <v>888.77</v>
      </c>
    </row>
    <row r="271" spans="1:7" x14ac:dyDescent="0.3">
      <c r="A271" t="s">
        <v>227</v>
      </c>
      <c r="B271" t="s">
        <v>30</v>
      </c>
      <c r="C271" t="s">
        <v>31</v>
      </c>
      <c r="D271" t="s">
        <v>11</v>
      </c>
      <c r="E271" t="s">
        <v>118</v>
      </c>
      <c r="F271" t="s">
        <v>13</v>
      </c>
      <c r="G271">
        <v>481.84</v>
      </c>
    </row>
    <row r="272" spans="1:7" x14ac:dyDescent="0.3">
      <c r="A272" t="s">
        <v>209</v>
      </c>
      <c r="B272" t="s">
        <v>62</v>
      </c>
      <c r="C272" t="s">
        <v>63</v>
      </c>
      <c r="D272" t="s">
        <v>36</v>
      </c>
      <c r="E272" t="s">
        <v>50</v>
      </c>
      <c r="F272" t="s">
        <v>19</v>
      </c>
      <c r="G272">
        <v>11585</v>
      </c>
    </row>
    <row r="273" spans="1:7" x14ac:dyDescent="0.3">
      <c r="A273" t="s">
        <v>228</v>
      </c>
      <c r="B273" t="s">
        <v>35</v>
      </c>
      <c r="C273" t="s">
        <v>35</v>
      </c>
      <c r="D273" t="s">
        <v>11</v>
      </c>
      <c r="E273" t="s">
        <v>18</v>
      </c>
      <c r="F273" t="s">
        <v>19</v>
      </c>
      <c r="G273">
        <v>272.02</v>
      </c>
    </row>
    <row r="274" spans="1:7" x14ac:dyDescent="0.3">
      <c r="A274" t="s">
        <v>229</v>
      </c>
      <c r="B274" t="s">
        <v>30</v>
      </c>
      <c r="C274" t="s">
        <v>31</v>
      </c>
      <c r="D274" t="s">
        <v>11</v>
      </c>
      <c r="E274" t="s">
        <v>28</v>
      </c>
      <c r="F274" t="s">
        <v>13</v>
      </c>
      <c r="G274">
        <v>1092.8399999999999</v>
      </c>
    </row>
    <row r="275" spans="1:7" x14ac:dyDescent="0.3">
      <c r="A275" t="s">
        <v>164</v>
      </c>
      <c r="B275" t="s">
        <v>24</v>
      </c>
      <c r="C275" t="s">
        <v>25</v>
      </c>
      <c r="D275" t="s">
        <v>36</v>
      </c>
      <c r="E275" t="s">
        <v>18</v>
      </c>
      <c r="F275" t="s">
        <v>19</v>
      </c>
      <c r="G275">
        <v>1064.3599999999999</v>
      </c>
    </row>
    <row r="276" spans="1:7" x14ac:dyDescent="0.3">
      <c r="A276" t="s">
        <v>97</v>
      </c>
      <c r="B276" t="s">
        <v>21</v>
      </c>
      <c r="C276" t="s">
        <v>22</v>
      </c>
      <c r="D276" t="s">
        <v>11</v>
      </c>
      <c r="E276" t="s">
        <v>28</v>
      </c>
      <c r="F276" t="s">
        <v>137</v>
      </c>
      <c r="G276">
        <v>1486.64</v>
      </c>
    </row>
    <row r="277" spans="1:7" x14ac:dyDescent="0.3">
      <c r="A277" t="s">
        <v>130</v>
      </c>
      <c r="B277" t="s">
        <v>41</v>
      </c>
      <c r="C277" t="s">
        <v>42</v>
      </c>
      <c r="D277" t="s">
        <v>32</v>
      </c>
      <c r="E277" t="s">
        <v>103</v>
      </c>
      <c r="F277" t="s">
        <v>13</v>
      </c>
      <c r="G277">
        <v>4514.32</v>
      </c>
    </row>
    <row r="278" spans="1:7" x14ac:dyDescent="0.3">
      <c r="A278" t="s">
        <v>52</v>
      </c>
      <c r="B278" t="s">
        <v>9</v>
      </c>
      <c r="C278" t="s">
        <v>10</v>
      </c>
      <c r="D278" t="s">
        <v>11</v>
      </c>
      <c r="E278" t="s">
        <v>118</v>
      </c>
      <c r="F278" t="s">
        <v>19</v>
      </c>
      <c r="G278">
        <v>1854.01</v>
      </c>
    </row>
    <row r="279" spans="1:7" x14ac:dyDescent="0.3">
      <c r="A279" t="s">
        <v>176</v>
      </c>
      <c r="B279" t="s">
        <v>55</v>
      </c>
      <c r="C279" t="s">
        <v>56</v>
      </c>
      <c r="D279" t="s">
        <v>11</v>
      </c>
      <c r="E279" t="s">
        <v>118</v>
      </c>
      <c r="F279" t="s">
        <v>19</v>
      </c>
      <c r="G279">
        <v>248.76</v>
      </c>
    </row>
    <row r="280" spans="1:7" x14ac:dyDescent="0.3">
      <c r="A280" t="s">
        <v>230</v>
      </c>
      <c r="B280" t="s">
        <v>35</v>
      </c>
      <c r="C280" t="s">
        <v>35</v>
      </c>
      <c r="D280" t="s">
        <v>11</v>
      </c>
      <c r="E280" t="s">
        <v>12</v>
      </c>
      <c r="F280" t="s">
        <v>13</v>
      </c>
      <c r="G280">
        <v>352.89</v>
      </c>
    </row>
    <row r="281" spans="1:7" x14ac:dyDescent="0.3">
      <c r="A281" t="s">
        <v>39</v>
      </c>
      <c r="B281" t="s">
        <v>24</v>
      </c>
      <c r="C281" t="s">
        <v>25</v>
      </c>
      <c r="D281" t="s">
        <v>50</v>
      </c>
      <c r="E281" t="s">
        <v>50</v>
      </c>
      <c r="F281" t="s">
        <v>19</v>
      </c>
      <c r="G281">
        <v>3094.56</v>
      </c>
    </row>
    <row r="282" spans="1:7" x14ac:dyDescent="0.3">
      <c r="A282" t="s">
        <v>231</v>
      </c>
      <c r="B282" t="s">
        <v>59</v>
      </c>
      <c r="C282" t="s">
        <v>60</v>
      </c>
      <c r="D282" t="s">
        <v>32</v>
      </c>
      <c r="E282" t="s">
        <v>108</v>
      </c>
      <c r="F282" t="s">
        <v>100</v>
      </c>
      <c r="G282">
        <v>4470.07</v>
      </c>
    </row>
    <row r="283" spans="1:7" x14ac:dyDescent="0.3">
      <c r="A283" t="s">
        <v>34</v>
      </c>
      <c r="B283" t="s">
        <v>35</v>
      </c>
      <c r="C283" t="s">
        <v>35</v>
      </c>
      <c r="D283" t="s">
        <v>17</v>
      </c>
      <c r="E283" t="s">
        <v>18</v>
      </c>
      <c r="F283" t="s">
        <v>19</v>
      </c>
      <c r="G283">
        <v>45.69</v>
      </c>
    </row>
    <row r="284" spans="1:7" x14ac:dyDescent="0.3">
      <c r="A284" t="s">
        <v>205</v>
      </c>
      <c r="B284" t="s">
        <v>24</v>
      </c>
      <c r="C284" t="s">
        <v>25</v>
      </c>
      <c r="D284" t="s">
        <v>32</v>
      </c>
      <c r="E284" t="s">
        <v>33</v>
      </c>
      <c r="F284" t="s">
        <v>137</v>
      </c>
      <c r="G284">
        <v>1947.16</v>
      </c>
    </row>
    <row r="285" spans="1:7" x14ac:dyDescent="0.3">
      <c r="A285" t="s">
        <v>212</v>
      </c>
      <c r="B285" t="s">
        <v>24</v>
      </c>
      <c r="C285" t="s">
        <v>25</v>
      </c>
      <c r="D285" t="s">
        <v>11</v>
      </c>
      <c r="E285" t="s">
        <v>26</v>
      </c>
      <c r="F285" t="s">
        <v>13</v>
      </c>
      <c r="G285">
        <v>1984.59</v>
      </c>
    </row>
    <row r="286" spans="1:7" x14ac:dyDescent="0.3">
      <c r="A286" t="s">
        <v>147</v>
      </c>
      <c r="B286" t="s">
        <v>24</v>
      </c>
      <c r="C286" t="s">
        <v>25</v>
      </c>
      <c r="D286" t="s">
        <v>32</v>
      </c>
      <c r="E286" t="s">
        <v>108</v>
      </c>
      <c r="F286" t="s">
        <v>137</v>
      </c>
      <c r="G286">
        <v>4081.68</v>
      </c>
    </row>
    <row r="287" spans="1:7" x14ac:dyDescent="0.3">
      <c r="A287" t="s">
        <v>225</v>
      </c>
      <c r="B287" t="s">
        <v>30</v>
      </c>
      <c r="C287" t="s">
        <v>31</v>
      </c>
      <c r="D287" t="s">
        <v>11</v>
      </c>
      <c r="E287" t="s">
        <v>12</v>
      </c>
      <c r="F287" t="s">
        <v>19</v>
      </c>
      <c r="G287">
        <v>606.97</v>
      </c>
    </row>
    <row r="288" spans="1:7" x14ac:dyDescent="0.3">
      <c r="A288" t="s">
        <v>227</v>
      </c>
      <c r="B288" t="s">
        <v>30</v>
      </c>
      <c r="C288" t="s">
        <v>31</v>
      </c>
      <c r="D288" t="s">
        <v>48</v>
      </c>
      <c r="E288" t="s">
        <v>18</v>
      </c>
      <c r="F288" t="s">
        <v>19</v>
      </c>
      <c r="G288">
        <v>5933.8</v>
      </c>
    </row>
    <row r="289" spans="1:7" x14ac:dyDescent="0.3">
      <c r="A289" t="s">
        <v>46</v>
      </c>
      <c r="B289" t="s">
        <v>35</v>
      </c>
      <c r="C289" t="s">
        <v>35</v>
      </c>
      <c r="D289" t="s">
        <v>36</v>
      </c>
      <c r="E289" t="s">
        <v>37</v>
      </c>
      <c r="F289" t="s">
        <v>137</v>
      </c>
      <c r="G289">
        <v>9626.34</v>
      </c>
    </row>
    <row r="290" spans="1:7" x14ac:dyDescent="0.3">
      <c r="A290" t="s">
        <v>210</v>
      </c>
      <c r="B290" t="s">
        <v>21</v>
      </c>
      <c r="C290" t="s">
        <v>22</v>
      </c>
      <c r="D290" t="s">
        <v>36</v>
      </c>
      <c r="E290" t="s">
        <v>37</v>
      </c>
      <c r="F290" t="s">
        <v>19</v>
      </c>
      <c r="G290">
        <v>13602.73</v>
      </c>
    </row>
    <row r="291" spans="1:7" x14ac:dyDescent="0.3">
      <c r="A291" t="s">
        <v>107</v>
      </c>
      <c r="B291" t="s">
        <v>24</v>
      </c>
      <c r="C291" t="s">
        <v>25</v>
      </c>
      <c r="D291" t="s">
        <v>48</v>
      </c>
      <c r="E291" t="s">
        <v>18</v>
      </c>
      <c r="F291" t="s">
        <v>13</v>
      </c>
      <c r="G291">
        <v>3593.78</v>
      </c>
    </row>
    <row r="292" spans="1:7" x14ac:dyDescent="0.3">
      <c r="A292" t="s">
        <v>209</v>
      </c>
      <c r="B292" t="s">
        <v>62</v>
      </c>
      <c r="C292" t="s">
        <v>63</v>
      </c>
      <c r="D292" t="s">
        <v>158</v>
      </c>
      <c r="E292" t="s">
        <v>12</v>
      </c>
      <c r="F292" t="s">
        <v>19</v>
      </c>
      <c r="G292">
        <v>492.29</v>
      </c>
    </row>
    <row r="293" spans="1:7" x14ac:dyDescent="0.3">
      <c r="A293" t="s">
        <v>213</v>
      </c>
      <c r="B293" t="s">
        <v>15</v>
      </c>
      <c r="C293" t="s">
        <v>16</v>
      </c>
      <c r="D293" t="s">
        <v>158</v>
      </c>
      <c r="E293" t="s">
        <v>28</v>
      </c>
      <c r="F293" t="s">
        <v>13</v>
      </c>
      <c r="G293">
        <v>140.96</v>
      </c>
    </row>
    <row r="294" spans="1:7" x14ac:dyDescent="0.3">
      <c r="A294" t="s">
        <v>211</v>
      </c>
      <c r="B294" t="s">
        <v>55</v>
      </c>
      <c r="C294" t="s">
        <v>56</v>
      </c>
      <c r="D294" t="s">
        <v>36</v>
      </c>
      <c r="E294" t="s">
        <v>37</v>
      </c>
      <c r="F294" t="s">
        <v>13</v>
      </c>
      <c r="G294">
        <v>4306.96</v>
      </c>
    </row>
    <row r="295" spans="1:7" x14ac:dyDescent="0.3">
      <c r="A295" t="s">
        <v>190</v>
      </c>
      <c r="B295" t="s">
        <v>21</v>
      </c>
      <c r="C295" t="s">
        <v>22</v>
      </c>
      <c r="D295" t="s">
        <v>36</v>
      </c>
      <c r="E295" t="s">
        <v>37</v>
      </c>
      <c r="F295" t="s">
        <v>19</v>
      </c>
      <c r="G295">
        <v>14893.86</v>
      </c>
    </row>
    <row r="296" spans="1:7" x14ac:dyDescent="0.3">
      <c r="A296" t="s">
        <v>232</v>
      </c>
      <c r="B296" t="s">
        <v>55</v>
      </c>
      <c r="C296" t="s">
        <v>56</v>
      </c>
      <c r="D296" t="s">
        <v>32</v>
      </c>
      <c r="E296" t="s">
        <v>33</v>
      </c>
      <c r="F296" t="s">
        <v>19</v>
      </c>
      <c r="G296">
        <v>2962.48</v>
      </c>
    </row>
    <row r="297" spans="1:7" x14ac:dyDescent="0.3">
      <c r="A297" t="s">
        <v>131</v>
      </c>
      <c r="B297" t="s">
        <v>41</v>
      </c>
      <c r="C297" t="s">
        <v>42</v>
      </c>
      <c r="D297" t="s">
        <v>32</v>
      </c>
      <c r="E297" t="s">
        <v>18</v>
      </c>
      <c r="F297" t="s">
        <v>19</v>
      </c>
      <c r="G297">
        <v>3904.87</v>
      </c>
    </row>
    <row r="298" spans="1:7" x14ac:dyDescent="0.3">
      <c r="A298" t="s">
        <v>61</v>
      </c>
      <c r="B298" t="s">
        <v>62</v>
      </c>
      <c r="C298" t="s">
        <v>63</v>
      </c>
      <c r="D298" t="s">
        <v>32</v>
      </c>
      <c r="E298" t="s">
        <v>93</v>
      </c>
      <c r="F298" t="s">
        <v>19</v>
      </c>
      <c r="G298">
        <v>2351.92</v>
      </c>
    </row>
    <row r="299" spans="1:7" x14ac:dyDescent="0.3">
      <c r="A299" t="s">
        <v>107</v>
      </c>
      <c r="B299" t="s">
        <v>24</v>
      </c>
      <c r="C299" t="s">
        <v>25</v>
      </c>
      <c r="D299" t="s">
        <v>48</v>
      </c>
      <c r="E299" t="s">
        <v>18</v>
      </c>
      <c r="F299" t="s">
        <v>13</v>
      </c>
      <c r="G299">
        <v>4859.72</v>
      </c>
    </row>
    <row r="300" spans="1:7" x14ac:dyDescent="0.3">
      <c r="A300" t="s">
        <v>121</v>
      </c>
      <c r="B300" t="s">
        <v>24</v>
      </c>
      <c r="C300" t="s">
        <v>25</v>
      </c>
      <c r="D300" t="s">
        <v>48</v>
      </c>
      <c r="E300" t="s">
        <v>18</v>
      </c>
      <c r="F300" t="s">
        <v>19</v>
      </c>
      <c r="G300">
        <v>7852.67</v>
      </c>
    </row>
    <row r="301" spans="1:7" x14ac:dyDescent="0.3">
      <c r="A301" t="s">
        <v>120</v>
      </c>
      <c r="B301" t="s">
        <v>55</v>
      </c>
      <c r="C301" t="s">
        <v>56</v>
      </c>
      <c r="D301" t="s">
        <v>32</v>
      </c>
      <c r="E301" t="s">
        <v>108</v>
      </c>
      <c r="F301" t="s">
        <v>19</v>
      </c>
      <c r="G301">
        <v>1778.2</v>
      </c>
    </row>
    <row r="302" spans="1:7" x14ac:dyDescent="0.3">
      <c r="A302" t="s">
        <v>65</v>
      </c>
      <c r="B302" t="s">
        <v>62</v>
      </c>
      <c r="C302" t="s">
        <v>63</v>
      </c>
      <c r="D302" t="s">
        <v>11</v>
      </c>
      <c r="E302" t="s">
        <v>26</v>
      </c>
      <c r="F302" t="s">
        <v>19</v>
      </c>
      <c r="G302">
        <v>1090.8</v>
      </c>
    </row>
    <row r="303" spans="1:7" x14ac:dyDescent="0.3">
      <c r="A303" t="s">
        <v>51</v>
      </c>
      <c r="B303" t="s">
        <v>41</v>
      </c>
      <c r="C303" t="s">
        <v>42</v>
      </c>
      <c r="D303" t="s">
        <v>36</v>
      </c>
      <c r="E303" t="s">
        <v>50</v>
      </c>
      <c r="F303" t="s">
        <v>19</v>
      </c>
      <c r="G303">
        <v>4386.83</v>
      </c>
    </row>
    <row r="304" spans="1:7" x14ac:dyDescent="0.3">
      <c r="A304" t="s">
        <v>99</v>
      </c>
      <c r="B304" t="s">
        <v>35</v>
      </c>
      <c r="C304" t="s">
        <v>35</v>
      </c>
      <c r="D304" t="s">
        <v>11</v>
      </c>
      <c r="E304" t="s">
        <v>12</v>
      </c>
      <c r="F304" t="s">
        <v>13</v>
      </c>
      <c r="G304">
        <v>209.98</v>
      </c>
    </row>
    <row r="305" spans="1:7" x14ac:dyDescent="0.3">
      <c r="A305" t="s">
        <v>233</v>
      </c>
      <c r="B305" t="s">
        <v>55</v>
      </c>
      <c r="C305" t="s">
        <v>56</v>
      </c>
      <c r="D305" t="s">
        <v>32</v>
      </c>
      <c r="E305" t="s">
        <v>28</v>
      </c>
      <c r="F305" t="s">
        <v>13</v>
      </c>
      <c r="G305">
        <v>4643.29</v>
      </c>
    </row>
    <row r="306" spans="1:7" x14ac:dyDescent="0.3">
      <c r="A306" t="s">
        <v>94</v>
      </c>
      <c r="B306" t="s">
        <v>62</v>
      </c>
      <c r="C306" t="s">
        <v>63</v>
      </c>
      <c r="D306" t="s">
        <v>36</v>
      </c>
      <c r="E306" t="s">
        <v>18</v>
      </c>
      <c r="F306" t="s">
        <v>19</v>
      </c>
      <c r="G306">
        <v>6309.9</v>
      </c>
    </row>
    <row r="307" spans="1:7" x14ac:dyDescent="0.3">
      <c r="A307" t="s">
        <v>234</v>
      </c>
      <c r="B307" t="s">
        <v>55</v>
      </c>
      <c r="C307" t="s">
        <v>56</v>
      </c>
      <c r="D307" t="s">
        <v>32</v>
      </c>
      <c r="E307" t="s">
        <v>28</v>
      </c>
      <c r="F307" t="s">
        <v>137</v>
      </c>
      <c r="G307">
        <v>4080.35</v>
      </c>
    </row>
    <row r="308" spans="1:7" x14ac:dyDescent="0.3">
      <c r="A308" t="s">
        <v>120</v>
      </c>
      <c r="B308" t="s">
        <v>55</v>
      </c>
      <c r="C308" t="s">
        <v>56</v>
      </c>
      <c r="D308" t="s">
        <v>36</v>
      </c>
      <c r="E308" t="s">
        <v>18</v>
      </c>
      <c r="F308" t="s">
        <v>19</v>
      </c>
      <c r="G308">
        <v>6269.44</v>
      </c>
    </row>
    <row r="309" spans="1:7" x14ac:dyDescent="0.3">
      <c r="A309" t="s">
        <v>213</v>
      </c>
      <c r="B309" t="s">
        <v>15</v>
      </c>
      <c r="C309" t="s">
        <v>16</v>
      </c>
      <c r="D309" t="s">
        <v>48</v>
      </c>
      <c r="E309" t="s">
        <v>18</v>
      </c>
      <c r="F309" t="s">
        <v>100</v>
      </c>
      <c r="G309">
        <v>1097.24</v>
      </c>
    </row>
    <row r="310" spans="1:7" x14ac:dyDescent="0.3">
      <c r="A310" t="s">
        <v>235</v>
      </c>
      <c r="B310" t="s">
        <v>41</v>
      </c>
      <c r="C310" t="s">
        <v>42</v>
      </c>
      <c r="D310" t="s">
        <v>36</v>
      </c>
      <c r="E310" t="s">
        <v>37</v>
      </c>
      <c r="F310" t="s">
        <v>38</v>
      </c>
      <c r="G310">
        <v>4809.74</v>
      </c>
    </row>
    <row r="311" spans="1:7" x14ac:dyDescent="0.3">
      <c r="A311" t="s">
        <v>49</v>
      </c>
      <c r="B311" t="s">
        <v>30</v>
      </c>
      <c r="C311" t="s">
        <v>31</v>
      </c>
      <c r="D311" t="s">
        <v>53</v>
      </c>
      <c r="E311" t="s">
        <v>18</v>
      </c>
      <c r="F311" t="s">
        <v>13</v>
      </c>
      <c r="G311">
        <v>7653.89</v>
      </c>
    </row>
    <row r="312" spans="1:7" x14ac:dyDescent="0.3">
      <c r="A312" t="s">
        <v>225</v>
      </c>
      <c r="B312" t="s">
        <v>30</v>
      </c>
      <c r="C312" t="s">
        <v>31</v>
      </c>
      <c r="D312" t="s">
        <v>50</v>
      </c>
      <c r="E312" t="s">
        <v>50</v>
      </c>
      <c r="F312" t="s">
        <v>19</v>
      </c>
      <c r="G312">
        <v>46218.239999999998</v>
      </c>
    </row>
    <row r="313" spans="1:7" x14ac:dyDescent="0.3">
      <c r="A313" t="s">
        <v>127</v>
      </c>
      <c r="B313" t="s">
        <v>35</v>
      </c>
      <c r="C313" t="s">
        <v>35</v>
      </c>
      <c r="D313" t="s">
        <v>36</v>
      </c>
      <c r="E313" t="s">
        <v>37</v>
      </c>
      <c r="F313" t="s">
        <v>38</v>
      </c>
      <c r="G313">
        <v>6474.31</v>
      </c>
    </row>
    <row r="314" spans="1:7" x14ac:dyDescent="0.3">
      <c r="A314" t="s">
        <v>236</v>
      </c>
      <c r="B314" t="s">
        <v>30</v>
      </c>
      <c r="C314" t="s">
        <v>31</v>
      </c>
      <c r="D314" t="s">
        <v>48</v>
      </c>
      <c r="E314" t="s">
        <v>18</v>
      </c>
      <c r="F314" t="s">
        <v>19</v>
      </c>
      <c r="G314">
        <v>7722</v>
      </c>
    </row>
    <row r="315" spans="1:7" x14ac:dyDescent="0.3">
      <c r="A315" t="s">
        <v>237</v>
      </c>
      <c r="B315" t="s">
        <v>41</v>
      </c>
      <c r="C315" t="s">
        <v>42</v>
      </c>
      <c r="D315" t="s">
        <v>11</v>
      </c>
      <c r="E315" t="s">
        <v>114</v>
      </c>
      <c r="F315" t="s">
        <v>64</v>
      </c>
      <c r="G315">
        <v>1540.33</v>
      </c>
    </row>
    <row r="316" spans="1:7" x14ac:dyDescent="0.3">
      <c r="A316" t="s">
        <v>57</v>
      </c>
      <c r="B316" t="s">
        <v>35</v>
      </c>
      <c r="C316" t="s">
        <v>35</v>
      </c>
      <c r="D316" t="s">
        <v>158</v>
      </c>
      <c r="E316" t="s">
        <v>159</v>
      </c>
      <c r="F316" t="s">
        <v>64</v>
      </c>
      <c r="G316">
        <v>103.31</v>
      </c>
    </row>
    <row r="317" spans="1:7" x14ac:dyDescent="0.3">
      <c r="A317" t="s">
        <v>116</v>
      </c>
      <c r="B317" t="s">
        <v>59</v>
      </c>
      <c r="C317" t="s">
        <v>60</v>
      </c>
      <c r="D317" t="s">
        <v>32</v>
      </c>
      <c r="E317" t="s">
        <v>93</v>
      </c>
      <c r="F317" t="s">
        <v>19</v>
      </c>
      <c r="G317">
        <v>505.88</v>
      </c>
    </row>
    <row r="318" spans="1:7" x14ac:dyDescent="0.3">
      <c r="A318" t="s">
        <v>54</v>
      </c>
      <c r="B318" t="s">
        <v>55</v>
      </c>
      <c r="C318" t="s">
        <v>56</v>
      </c>
      <c r="D318" t="s">
        <v>48</v>
      </c>
      <c r="E318" t="s">
        <v>18</v>
      </c>
      <c r="F318" t="s">
        <v>137</v>
      </c>
      <c r="G318">
        <v>673.46</v>
      </c>
    </row>
    <row r="319" spans="1:7" x14ac:dyDescent="0.3">
      <c r="A319" t="s">
        <v>96</v>
      </c>
      <c r="B319" t="s">
        <v>62</v>
      </c>
      <c r="C319" t="s">
        <v>63</v>
      </c>
      <c r="D319" t="s">
        <v>36</v>
      </c>
      <c r="E319" t="s">
        <v>37</v>
      </c>
      <c r="F319" t="s">
        <v>19</v>
      </c>
      <c r="G319">
        <v>2071.39</v>
      </c>
    </row>
    <row r="320" spans="1:7" x14ac:dyDescent="0.3">
      <c r="A320" t="s">
        <v>27</v>
      </c>
      <c r="B320" t="s">
        <v>24</v>
      </c>
      <c r="C320" t="s">
        <v>25</v>
      </c>
      <c r="D320" t="s">
        <v>50</v>
      </c>
      <c r="E320" t="s">
        <v>50</v>
      </c>
      <c r="F320" t="s">
        <v>19</v>
      </c>
      <c r="G320">
        <v>27774.23</v>
      </c>
    </row>
    <row r="321" spans="1:7" x14ac:dyDescent="0.3">
      <c r="A321" t="s">
        <v>154</v>
      </c>
      <c r="B321" t="s">
        <v>21</v>
      </c>
      <c r="C321" t="s">
        <v>22</v>
      </c>
      <c r="D321" t="s">
        <v>53</v>
      </c>
      <c r="E321" t="s">
        <v>18</v>
      </c>
      <c r="F321" t="s">
        <v>19</v>
      </c>
      <c r="G321">
        <v>76512.5</v>
      </c>
    </row>
    <row r="322" spans="1:7" x14ac:dyDescent="0.3">
      <c r="A322" t="s">
        <v>102</v>
      </c>
      <c r="B322" t="s">
        <v>9</v>
      </c>
      <c r="C322" t="s">
        <v>10</v>
      </c>
      <c r="D322" t="s">
        <v>48</v>
      </c>
      <c r="E322" t="s">
        <v>18</v>
      </c>
      <c r="F322" t="s">
        <v>19</v>
      </c>
      <c r="G322">
        <v>8186.79</v>
      </c>
    </row>
    <row r="323" spans="1:7" x14ac:dyDescent="0.3">
      <c r="A323" t="s">
        <v>238</v>
      </c>
      <c r="B323" t="s">
        <v>55</v>
      </c>
      <c r="C323" t="s">
        <v>56</v>
      </c>
      <c r="D323" t="s">
        <v>53</v>
      </c>
      <c r="E323" t="s">
        <v>18</v>
      </c>
      <c r="F323" t="s">
        <v>64</v>
      </c>
      <c r="G323">
        <v>79361.919999999998</v>
      </c>
    </row>
    <row r="324" spans="1:7" x14ac:dyDescent="0.3">
      <c r="A324" t="s">
        <v>23</v>
      </c>
      <c r="B324" t="s">
        <v>24</v>
      </c>
      <c r="C324" t="s">
        <v>25</v>
      </c>
      <c r="D324" t="s">
        <v>32</v>
      </c>
      <c r="E324" t="s">
        <v>43</v>
      </c>
      <c r="F324" t="s">
        <v>19</v>
      </c>
      <c r="G324">
        <v>73.27</v>
      </c>
    </row>
    <row r="325" spans="1:7" x14ac:dyDescent="0.3">
      <c r="A325" t="s">
        <v>195</v>
      </c>
      <c r="B325" t="s">
        <v>41</v>
      </c>
      <c r="C325" t="s">
        <v>42</v>
      </c>
      <c r="D325" t="s">
        <v>36</v>
      </c>
      <c r="E325" t="s">
        <v>37</v>
      </c>
      <c r="F325" t="s">
        <v>137</v>
      </c>
      <c r="G325">
        <v>8091.86</v>
      </c>
    </row>
    <row r="326" spans="1:7" x14ac:dyDescent="0.3">
      <c r="A326" t="s">
        <v>165</v>
      </c>
      <c r="B326" t="s">
        <v>62</v>
      </c>
      <c r="C326" t="s">
        <v>63</v>
      </c>
      <c r="D326" t="s">
        <v>11</v>
      </c>
      <c r="E326" t="s">
        <v>118</v>
      </c>
      <c r="F326" t="s">
        <v>19</v>
      </c>
      <c r="G326">
        <v>1064.96</v>
      </c>
    </row>
    <row r="327" spans="1:7" x14ac:dyDescent="0.3">
      <c r="A327" t="s">
        <v>123</v>
      </c>
      <c r="B327" t="s">
        <v>24</v>
      </c>
      <c r="C327" t="s">
        <v>25</v>
      </c>
      <c r="D327" t="s">
        <v>17</v>
      </c>
      <c r="E327" t="s">
        <v>18</v>
      </c>
      <c r="F327" t="s">
        <v>19</v>
      </c>
      <c r="G327">
        <v>8.18</v>
      </c>
    </row>
    <row r="328" spans="1:7" x14ac:dyDescent="0.3">
      <c r="A328" t="s">
        <v>184</v>
      </c>
      <c r="B328" t="s">
        <v>62</v>
      </c>
      <c r="C328" t="s">
        <v>63</v>
      </c>
      <c r="D328" t="s">
        <v>50</v>
      </c>
      <c r="E328" t="s">
        <v>50</v>
      </c>
      <c r="F328" t="s">
        <v>19</v>
      </c>
      <c r="G328">
        <v>42588.92</v>
      </c>
    </row>
    <row r="329" spans="1:7" x14ac:dyDescent="0.3">
      <c r="A329" t="s">
        <v>120</v>
      </c>
      <c r="B329" t="s">
        <v>55</v>
      </c>
      <c r="C329" t="s">
        <v>56</v>
      </c>
      <c r="D329" t="s">
        <v>32</v>
      </c>
      <c r="E329" t="s">
        <v>18</v>
      </c>
      <c r="F329" t="s">
        <v>137</v>
      </c>
      <c r="G329">
        <v>4572.83</v>
      </c>
    </row>
    <row r="330" spans="1:7" x14ac:dyDescent="0.3">
      <c r="A330" t="s">
        <v>129</v>
      </c>
      <c r="B330" t="s">
        <v>15</v>
      </c>
      <c r="C330" t="s">
        <v>16</v>
      </c>
      <c r="D330" t="s">
        <v>36</v>
      </c>
      <c r="E330" t="s">
        <v>37</v>
      </c>
      <c r="F330" t="s">
        <v>19</v>
      </c>
      <c r="G330">
        <v>4224.29</v>
      </c>
    </row>
    <row r="331" spans="1:7" x14ac:dyDescent="0.3">
      <c r="A331" t="s">
        <v>239</v>
      </c>
      <c r="B331" t="s">
        <v>30</v>
      </c>
      <c r="C331" t="s">
        <v>31</v>
      </c>
      <c r="D331" t="s">
        <v>11</v>
      </c>
      <c r="E331" t="s">
        <v>12</v>
      </c>
      <c r="F331" t="s">
        <v>19</v>
      </c>
      <c r="G331">
        <v>1912.34</v>
      </c>
    </row>
    <row r="332" spans="1:7" x14ac:dyDescent="0.3">
      <c r="A332" t="s">
        <v>240</v>
      </c>
      <c r="B332" t="s">
        <v>30</v>
      </c>
      <c r="C332" t="s">
        <v>31</v>
      </c>
      <c r="D332" t="s">
        <v>36</v>
      </c>
      <c r="E332" t="s">
        <v>37</v>
      </c>
      <c r="F332" t="s">
        <v>38</v>
      </c>
      <c r="G332">
        <v>14465.78</v>
      </c>
    </row>
    <row r="333" spans="1:7" x14ac:dyDescent="0.3">
      <c r="A333" t="s">
        <v>180</v>
      </c>
      <c r="B333" t="s">
        <v>59</v>
      </c>
      <c r="C333" t="s">
        <v>60</v>
      </c>
      <c r="D333" t="s">
        <v>17</v>
      </c>
      <c r="E333" t="s">
        <v>18</v>
      </c>
      <c r="F333" t="s">
        <v>38</v>
      </c>
      <c r="G333">
        <v>23.18</v>
      </c>
    </row>
    <row r="334" spans="1:7" x14ac:dyDescent="0.3">
      <c r="A334" t="s">
        <v>241</v>
      </c>
      <c r="B334" t="s">
        <v>24</v>
      </c>
      <c r="C334" t="s">
        <v>25</v>
      </c>
      <c r="D334" t="s">
        <v>32</v>
      </c>
      <c r="E334" t="s">
        <v>103</v>
      </c>
      <c r="F334" t="s">
        <v>19</v>
      </c>
      <c r="G334">
        <v>4850.3900000000003</v>
      </c>
    </row>
    <row r="335" spans="1:7" x14ac:dyDescent="0.3">
      <c r="A335" t="s">
        <v>95</v>
      </c>
      <c r="B335" t="s">
        <v>21</v>
      </c>
      <c r="C335" t="s">
        <v>22</v>
      </c>
      <c r="D335" t="s">
        <v>11</v>
      </c>
      <c r="E335" t="s">
        <v>12</v>
      </c>
      <c r="F335" t="s">
        <v>100</v>
      </c>
      <c r="G335">
        <v>1277.9000000000001</v>
      </c>
    </row>
    <row r="336" spans="1:7" x14ac:dyDescent="0.3">
      <c r="A336" t="s">
        <v>97</v>
      </c>
      <c r="B336" t="s">
        <v>21</v>
      </c>
      <c r="C336" t="s">
        <v>22</v>
      </c>
      <c r="D336" t="s">
        <v>36</v>
      </c>
      <c r="E336" t="s">
        <v>37</v>
      </c>
      <c r="F336" t="s">
        <v>19</v>
      </c>
      <c r="G336">
        <v>13608.4</v>
      </c>
    </row>
    <row r="337" spans="1:7" x14ac:dyDescent="0.3">
      <c r="A337" t="s">
        <v>242</v>
      </c>
      <c r="B337" t="s">
        <v>9</v>
      </c>
      <c r="C337" t="s">
        <v>10</v>
      </c>
      <c r="D337" t="s">
        <v>32</v>
      </c>
      <c r="E337" t="s">
        <v>93</v>
      </c>
      <c r="F337" t="s">
        <v>13</v>
      </c>
      <c r="G337">
        <v>1622.98</v>
      </c>
    </row>
    <row r="338" spans="1:7" x14ac:dyDescent="0.3">
      <c r="A338" t="s">
        <v>243</v>
      </c>
      <c r="B338" t="s">
        <v>59</v>
      </c>
      <c r="C338" t="s">
        <v>60</v>
      </c>
      <c r="D338" t="s">
        <v>11</v>
      </c>
      <c r="E338" t="s">
        <v>26</v>
      </c>
      <c r="F338" t="s">
        <v>19</v>
      </c>
      <c r="G338">
        <v>1326.69</v>
      </c>
    </row>
    <row r="339" spans="1:7" x14ac:dyDescent="0.3">
      <c r="A339" t="s">
        <v>109</v>
      </c>
      <c r="B339" t="s">
        <v>41</v>
      </c>
      <c r="C339" t="s">
        <v>42</v>
      </c>
      <c r="D339" t="s">
        <v>32</v>
      </c>
      <c r="E339" t="s">
        <v>103</v>
      </c>
      <c r="F339" t="s">
        <v>38</v>
      </c>
      <c r="G339">
        <v>2206.69</v>
      </c>
    </row>
    <row r="340" spans="1:7" x14ac:dyDescent="0.3">
      <c r="A340" t="s">
        <v>122</v>
      </c>
      <c r="B340" t="s">
        <v>21</v>
      </c>
      <c r="C340" t="s">
        <v>22</v>
      </c>
      <c r="D340" t="s">
        <v>32</v>
      </c>
      <c r="E340" t="s">
        <v>43</v>
      </c>
      <c r="F340" t="s">
        <v>19</v>
      </c>
      <c r="G340">
        <v>3085.09</v>
      </c>
    </row>
    <row r="341" spans="1:7" x14ac:dyDescent="0.3">
      <c r="A341" t="s">
        <v>169</v>
      </c>
      <c r="B341" t="s">
        <v>35</v>
      </c>
      <c r="C341" t="s">
        <v>35</v>
      </c>
      <c r="D341" t="s">
        <v>11</v>
      </c>
      <c r="E341" t="s">
        <v>114</v>
      </c>
      <c r="F341" t="s">
        <v>19</v>
      </c>
      <c r="G341">
        <v>1834.39</v>
      </c>
    </row>
    <row r="342" spans="1:7" x14ac:dyDescent="0.3">
      <c r="A342" t="s">
        <v>244</v>
      </c>
      <c r="B342" t="s">
        <v>35</v>
      </c>
      <c r="C342" t="s">
        <v>35</v>
      </c>
      <c r="D342" t="s">
        <v>158</v>
      </c>
      <c r="E342" t="s">
        <v>12</v>
      </c>
      <c r="F342" t="s">
        <v>19</v>
      </c>
      <c r="G342">
        <v>261.38</v>
      </c>
    </row>
    <row r="343" spans="1:7" x14ac:dyDescent="0.3">
      <c r="A343" t="s">
        <v>40</v>
      </c>
      <c r="B343" t="s">
        <v>41</v>
      </c>
      <c r="C343" t="s">
        <v>42</v>
      </c>
      <c r="D343" t="s">
        <v>32</v>
      </c>
      <c r="E343" t="s">
        <v>108</v>
      </c>
      <c r="F343" t="s">
        <v>13</v>
      </c>
      <c r="G343">
        <v>184.51</v>
      </c>
    </row>
    <row r="344" spans="1:7" x14ac:dyDescent="0.3">
      <c r="A344" t="s">
        <v>245</v>
      </c>
      <c r="B344" t="s">
        <v>59</v>
      </c>
      <c r="C344" t="s">
        <v>60</v>
      </c>
      <c r="D344" t="s">
        <v>48</v>
      </c>
      <c r="E344" t="s">
        <v>18</v>
      </c>
      <c r="F344" t="s">
        <v>19</v>
      </c>
      <c r="G344">
        <v>9711.7800000000007</v>
      </c>
    </row>
    <row r="345" spans="1:7" x14ac:dyDescent="0.3">
      <c r="A345" t="s">
        <v>155</v>
      </c>
      <c r="B345" t="s">
        <v>21</v>
      </c>
      <c r="C345" t="s">
        <v>22</v>
      </c>
      <c r="D345" t="s">
        <v>158</v>
      </c>
      <c r="E345" t="s">
        <v>28</v>
      </c>
      <c r="F345" t="s">
        <v>13</v>
      </c>
      <c r="G345">
        <v>241.77</v>
      </c>
    </row>
    <row r="346" spans="1:7" x14ac:dyDescent="0.3">
      <c r="A346" t="s">
        <v>246</v>
      </c>
      <c r="B346" t="s">
        <v>35</v>
      </c>
      <c r="C346" t="s">
        <v>35</v>
      </c>
      <c r="D346" t="s">
        <v>36</v>
      </c>
      <c r="E346" t="s">
        <v>37</v>
      </c>
      <c r="F346" t="s">
        <v>137</v>
      </c>
      <c r="G346">
        <v>14684.3</v>
      </c>
    </row>
    <row r="347" spans="1:7" x14ac:dyDescent="0.3">
      <c r="A347" t="s">
        <v>186</v>
      </c>
      <c r="B347" t="s">
        <v>24</v>
      </c>
      <c r="C347" t="s">
        <v>25</v>
      </c>
      <c r="D347" t="s">
        <v>11</v>
      </c>
      <c r="E347" t="s">
        <v>114</v>
      </c>
      <c r="F347" t="s">
        <v>137</v>
      </c>
      <c r="G347">
        <v>561.87</v>
      </c>
    </row>
    <row r="348" spans="1:7" x14ac:dyDescent="0.3">
      <c r="A348" t="s">
        <v>247</v>
      </c>
      <c r="B348" t="s">
        <v>21</v>
      </c>
      <c r="C348" t="s">
        <v>22</v>
      </c>
      <c r="D348" t="s">
        <v>36</v>
      </c>
      <c r="E348" t="s">
        <v>37</v>
      </c>
      <c r="F348" t="s">
        <v>19</v>
      </c>
      <c r="G348">
        <v>10317.89</v>
      </c>
    </row>
    <row r="349" spans="1:7" x14ac:dyDescent="0.3">
      <c r="A349" t="s">
        <v>245</v>
      </c>
      <c r="B349" t="s">
        <v>59</v>
      </c>
      <c r="C349" t="s">
        <v>60</v>
      </c>
      <c r="D349" t="s">
        <v>11</v>
      </c>
      <c r="E349" t="s">
        <v>28</v>
      </c>
      <c r="F349" t="s">
        <v>100</v>
      </c>
      <c r="G349">
        <v>1267.5899999999999</v>
      </c>
    </row>
    <row r="350" spans="1:7" x14ac:dyDescent="0.3">
      <c r="A350" t="s">
        <v>213</v>
      </c>
      <c r="B350" t="s">
        <v>15</v>
      </c>
      <c r="C350" t="s">
        <v>16</v>
      </c>
      <c r="D350" t="s">
        <v>11</v>
      </c>
      <c r="E350" t="s">
        <v>12</v>
      </c>
      <c r="F350" t="s">
        <v>13</v>
      </c>
      <c r="G350">
        <v>1038.25</v>
      </c>
    </row>
    <row r="351" spans="1:7" x14ac:dyDescent="0.3">
      <c r="A351" t="s">
        <v>185</v>
      </c>
      <c r="B351" t="s">
        <v>24</v>
      </c>
      <c r="C351" t="s">
        <v>25</v>
      </c>
      <c r="D351" t="s">
        <v>32</v>
      </c>
      <c r="E351" t="s">
        <v>103</v>
      </c>
      <c r="F351" t="s">
        <v>19</v>
      </c>
      <c r="G351">
        <v>4514.6000000000004</v>
      </c>
    </row>
    <row r="352" spans="1:7" x14ac:dyDescent="0.3">
      <c r="A352" t="s">
        <v>211</v>
      </c>
      <c r="B352" t="s">
        <v>55</v>
      </c>
      <c r="C352" t="s">
        <v>56</v>
      </c>
      <c r="D352" t="s">
        <v>17</v>
      </c>
      <c r="E352" t="s">
        <v>18</v>
      </c>
      <c r="F352" t="s">
        <v>137</v>
      </c>
      <c r="G352">
        <v>36.49</v>
      </c>
    </row>
    <row r="353" spans="1:7" x14ac:dyDescent="0.3">
      <c r="A353" t="s">
        <v>151</v>
      </c>
      <c r="B353" t="s">
        <v>62</v>
      </c>
      <c r="C353" t="s">
        <v>63</v>
      </c>
      <c r="D353" t="s">
        <v>11</v>
      </c>
      <c r="E353" t="s">
        <v>26</v>
      </c>
      <c r="F353" t="s">
        <v>64</v>
      </c>
      <c r="G353">
        <v>1962.04</v>
      </c>
    </row>
    <row r="354" spans="1:7" x14ac:dyDescent="0.3">
      <c r="A354" t="s">
        <v>149</v>
      </c>
      <c r="B354" t="s">
        <v>55</v>
      </c>
      <c r="C354" t="s">
        <v>56</v>
      </c>
      <c r="D354" t="s">
        <v>32</v>
      </c>
      <c r="E354" t="s">
        <v>103</v>
      </c>
      <c r="F354" t="s">
        <v>13</v>
      </c>
      <c r="G354">
        <v>2744.92</v>
      </c>
    </row>
    <row r="355" spans="1:7" x14ac:dyDescent="0.3">
      <c r="A355" t="s">
        <v>155</v>
      </c>
      <c r="B355" t="s">
        <v>21</v>
      </c>
      <c r="C355" t="s">
        <v>22</v>
      </c>
      <c r="D355" t="s">
        <v>48</v>
      </c>
      <c r="E355" t="s">
        <v>18</v>
      </c>
      <c r="F355" t="s">
        <v>19</v>
      </c>
      <c r="G355">
        <v>3318.31</v>
      </c>
    </row>
    <row r="356" spans="1:7" x14ac:dyDescent="0.3">
      <c r="A356" t="s">
        <v>61</v>
      </c>
      <c r="B356" t="s">
        <v>62</v>
      </c>
      <c r="C356" t="s">
        <v>63</v>
      </c>
      <c r="D356" t="s">
        <v>48</v>
      </c>
      <c r="E356" t="s">
        <v>18</v>
      </c>
      <c r="F356" t="s">
        <v>19</v>
      </c>
      <c r="G356">
        <v>7468.2</v>
      </c>
    </row>
    <row r="357" spans="1:7" x14ac:dyDescent="0.3">
      <c r="A357" t="s">
        <v>167</v>
      </c>
      <c r="B357" t="s">
        <v>62</v>
      </c>
      <c r="C357" t="s">
        <v>63</v>
      </c>
      <c r="D357" t="s">
        <v>36</v>
      </c>
      <c r="E357" t="s">
        <v>37</v>
      </c>
      <c r="F357" t="s">
        <v>13</v>
      </c>
      <c r="G357">
        <v>2539.85</v>
      </c>
    </row>
    <row r="358" spans="1:7" x14ac:dyDescent="0.3">
      <c r="A358" t="s">
        <v>142</v>
      </c>
      <c r="B358" t="s">
        <v>35</v>
      </c>
      <c r="C358" t="s">
        <v>35</v>
      </c>
      <c r="D358" t="s">
        <v>11</v>
      </c>
      <c r="E358" t="s">
        <v>18</v>
      </c>
      <c r="F358" t="s">
        <v>38</v>
      </c>
      <c r="G358">
        <v>1942.37</v>
      </c>
    </row>
    <row r="359" spans="1:7" x14ac:dyDescent="0.3">
      <c r="A359" t="s">
        <v>155</v>
      </c>
      <c r="B359" t="s">
        <v>21</v>
      </c>
      <c r="C359" t="s">
        <v>22</v>
      </c>
      <c r="D359" t="s">
        <v>32</v>
      </c>
      <c r="E359" t="s">
        <v>93</v>
      </c>
      <c r="F359" t="s">
        <v>19</v>
      </c>
      <c r="G359">
        <v>1368.29</v>
      </c>
    </row>
    <row r="360" spans="1:7" x14ac:dyDescent="0.3">
      <c r="A360" t="s">
        <v>248</v>
      </c>
      <c r="B360" t="s">
        <v>9</v>
      </c>
      <c r="C360" t="s">
        <v>10</v>
      </c>
      <c r="D360" t="s">
        <v>48</v>
      </c>
      <c r="E360" t="s">
        <v>18</v>
      </c>
      <c r="F360" t="s">
        <v>13</v>
      </c>
      <c r="G360">
        <v>8276.9500000000007</v>
      </c>
    </row>
    <row r="361" spans="1:7" x14ac:dyDescent="0.3">
      <c r="A361" t="s">
        <v>249</v>
      </c>
      <c r="B361" t="s">
        <v>30</v>
      </c>
      <c r="C361" t="s">
        <v>31</v>
      </c>
      <c r="D361" t="s">
        <v>50</v>
      </c>
      <c r="E361" t="s">
        <v>50</v>
      </c>
      <c r="F361" t="s">
        <v>19</v>
      </c>
      <c r="G361">
        <v>1098.6199999999999</v>
      </c>
    </row>
    <row r="362" spans="1:7" x14ac:dyDescent="0.3">
      <c r="A362" t="s">
        <v>109</v>
      </c>
      <c r="B362" t="s">
        <v>41</v>
      </c>
      <c r="C362" t="s">
        <v>42</v>
      </c>
      <c r="D362" t="s">
        <v>11</v>
      </c>
      <c r="E362" t="s">
        <v>12</v>
      </c>
      <c r="F362" t="s">
        <v>19</v>
      </c>
      <c r="G362">
        <v>1996.39</v>
      </c>
    </row>
    <row r="363" spans="1:7" x14ac:dyDescent="0.3">
      <c r="A363" t="s">
        <v>250</v>
      </c>
      <c r="B363" t="s">
        <v>24</v>
      </c>
      <c r="C363" t="s">
        <v>25</v>
      </c>
      <c r="D363" t="s">
        <v>36</v>
      </c>
      <c r="E363" t="s">
        <v>18</v>
      </c>
      <c r="F363" t="s">
        <v>19</v>
      </c>
      <c r="G363">
        <v>11188.69</v>
      </c>
    </row>
    <row r="364" spans="1:7" x14ac:dyDescent="0.3">
      <c r="A364" t="s">
        <v>202</v>
      </c>
      <c r="B364" t="s">
        <v>59</v>
      </c>
      <c r="C364" t="s">
        <v>60</v>
      </c>
      <c r="D364" t="s">
        <v>48</v>
      </c>
      <c r="E364" t="s">
        <v>18</v>
      </c>
      <c r="F364" t="s">
        <v>19</v>
      </c>
      <c r="G364">
        <v>5956.63</v>
      </c>
    </row>
    <row r="365" spans="1:7" x14ac:dyDescent="0.3">
      <c r="A365" t="s">
        <v>105</v>
      </c>
      <c r="B365" t="s">
        <v>41</v>
      </c>
      <c r="C365" t="s">
        <v>42</v>
      </c>
      <c r="D365" t="s">
        <v>36</v>
      </c>
      <c r="E365" t="s">
        <v>37</v>
      </c>
      <c r="F365" t="s">
        <v>19</v>
      </c>
      <c r="G365">
        <v>11873.82</v>
      </c>
    </row>
    <row r="366" spans="1:7" x14ac:dyDescent="0.3">
      <c r="A366" t="s">
        <v>115</v>
      </c>
      <c r="B366" t="s">
        <v>9</v>
      </c>
      <c r="C366" t="s">
        <v>10</v>
      </c>
      <c r="D366" t="s">
        <v>11</v>
      </c>
      <c r="E366" t="s">
        <v>114</v>
      </c>
      <c r="F366" t="s">
        <v>13</v>
      </c>
      <c r="G366">
        <v>247.64</v>
      </c>
    </row>
    <row r="367" spans="1:7" x14ac:dyDescent="0.3">
      <c r="A367" t="s">
        <v>113</v>
      </c>
      <c r="B367" t="s">
        <v>9</v>
      </c>
      <c r="C367" t="s">
        <v>10</v>
      </c>
      <c r="D367" t="s">
        <v>11</v>
      </c>
      <c r="E367" t="s">
        <v>114</v>
      </c>
      <c r="F367" t="s">
        <v>19</v>
      </c>
      <c r="G367">
        <v>1470.25</v>
      </c>
    </row>
    <row r="368" spans="1:7" x14ac:dyDescent="0.3">
      <c r="A368" t="s">
        <v>221</v>
      </c>
      <c r="B368" t="s">
        <v>41</v>
      </c>
      <c r="C368" t="s">
        <v>42</v>
      </c>
      <c r="D368" t="s">
        <v>50</v>
      </c>
      <c r="E368" t="s">
        <v>50</v>
      </c>
      <c r="F368" t="s">
        <v>19</v>
      </c>
      <c r="G368">
        <v>5835.41</v>
      </c>
    </row>
    <row r="369" spans="1:7" x14ac:dyDescent="0.3">
      <c r="A369" t="s">
        <v>97</v>
      </c>
      <c r="B369" t="s">
        <v>21</v>
      </c>
      <c r="C369" t="s">
        <v>22</v>
      </c>
      <c r="D369" t="s">
        <v>11</v>
      </c>
      <c r="E369" t="s">
        <v>12</v>
      </c>
      <c r="F369" t="s">
        <v>13</v>
      </c>
      <c r="G369">
        <v>1071.52</v>
      </c>
    </row>
    <row r="370" spans="1:7" x14ac:dyDescent="0.3">
      <c r="A370" t="s">
        <v>129</v>
      </c>
      <c r="B370" t="s">
        <v>15</v>
      </c>
      <c r="C370" t="s">
        <v>16</v>
      </c>
      <c r="D370" t="s">
        <v>36</v>
      </c>
      <c r="E370" t="s">
        <v>50</v>
      </c>
      <c r="F370" t="s">
        <v>19</v>
      </c>
      <c r="G370">
        <v>1979.01</v>
      </c>
    </row>
    <row r="371" spans="1:7" x14ac:dyDescent="0.3">
      <c r="A371" t="s">
        <v>237</v>
      </c>
      <c r="B371" t="s">
        <v>41</v>
      </c>
      <c r="C371" t="s">
        <v>42</v>
      </c>
      <c r="D371" t="s">
        <v>48</v>
      </c>
      <c r="E371" t="s">
        <v>18</v>
      </c>
      <c r="F371" t="s">
        <v>19</v>
      </c>
      <c r="G371">
        <v>4963.59</v>
      </c>
    </row>
    <row r="372" spans="1:7" x14ac:dyDescent="0.3">
      <c r="A372" t="s">
        <v>44</v>
      </c>
      <c r="B372" t="s">
        <v>21</v>
      </c>
      <c r="C372" t="s">
        <v>22</v>
      </c>
      <c r="D372" t="s">
        <v>32</v>
      </c>
      <c r="E372" t="s">
        <v>28</v>
      </c>
      <c r="F372" t="s">
        <v>13</v>
      </c>
      <c r="G372">
        <v>2671.2</v>
      </c>
    </row>
    <row r="373" spans="1:7" x14ac:dyDescent="0.3">
      <c r="A373" t="s">
        <v>251</v>
      </c>
      <c r="B373" t="s">
        <v>41</v>
      </c>
      <c r="C373" t="s">
        <v>42</v>
      </c>
      <c r="D373" t="s">
        <v>17</v>
      </c>
      <c r="E373" t="s">
        <v>18</v>
      </c>
      <c r="F373" t="s">
        <v>19</v>
      </c>
      <c r="G373">
        <v>35.64</v>
      </c>
    </row>
    <row r="374" spans="1:7" x14ac:dyDescent="0.3">
      <c r="A374" t="s">
        <v>208</v>
      </c>
      <c r="B374" t="s">
        <v>15</v>
      </c>
      <c r="C374" t="s">
        <v>16</v>
      </c>
      <c r="D374" t="s">
        <v>36</v>
      </c>
      <c r="E374" t="s">
        <v>37</v>
      </c>
      <c r="F374" t="s">
        <v>64</v>
      </c>
      <c r="G374">
        <v>3712.34</v>
      </c>
    </row>
    <row r="375" spans="1:7" x14ac:dyDescent="0.3">
      <c r="A375" t="s">
        <v>252</v>
      </c>
      <c r="B375" t="s">
        <v>62</v>
      </c>
      <c r="C375" t="s">
        <v>63</v>
      </c>
      <c r="D375" t="s">
        <v>53</v>
      </c>
      <c r="E375" t="s">
        <v>18</v>
      </c>
      <c r="F375" t="s">
        <v>19</v>
      </c>
      <c r="G375">
        <v>42033.39</v>
      </c>
    </row>
    <row r="376" spans="1:7" x14ac:dyDescent="0.3">
      <c r="A376" t="s">
        <v>246</v>
      </c>
      <c r="B376" t="s">
        <v>35</v>
      </c>
      <c r="C376" t="s">
        <v>35</v>
      </c>
      <c r="D376" t="s">
        <v>50</v>
      </c>
      <c r="E376" t="s">
        <v>50</v>
      </c>
      <c r="F376" t="s">
        <v>19</v>
      </c>
      <c r="G376">
        <v>25297.21</v>
      </c>
    </row>
    <row r="377" spans="1:7" x14ac:dyDescent="0.3">
      <c r="A377" t="s">
        <v>47</v>
      </c>
      <c r="B377" t="s">
        <v>41</v>
      </c>
      <c r="C377" t="s">
        <v>42</v>
      </c>
      <c r="D377" t="s">
        <v>158</v>
      </c>
      <c r="E377" t="s">
        <v>12</v>
      </c>
      <c r="F377" t="s">
        <v>100</v>
      </c>
      <c r="G377">
        <v>493.68</v>
      </c>
    </row>
    <row r="378" spans="1:7" x14ac:dyDescent="0.3">
      <c r="A378" t="s">
        <v>143</v>
      </c>
      <c r="B378" t="s">
        <v>62</v>
      </c>
      <c r="C378" t="s">
        <v>63</v>
      </c>
      <c r="D378" t="s">
        <v>36</v>
      </c>
      <c r="E378" t="s">
        <v>37</v>
      </c>
      <c r="F378" t="s">
        <v>38</v>
      </c>
      <c r="G378">
        <v>7866.5</v>
      </c>
    </row>
    <row r="379" spans="1:7" x14ac:dyDescent="0.3">
      <c r="A379" t="s">
        <v>204</v>
      </c>
      <c r="B379" t="s">
        <v>9</v>
      </c>
      <c r="C379" t="s">
        <v>10</v>
      </c>
      <c r="D379" t="s">
        <v>32</v>
      </c>
      <c r="E379" t="s">
        <v>43</v>
      </c>
      <c r="F379" t="s">
        <v>19</v>
      </c>
      <c r="G379">
        <v>2489.8200000000002</v>
      </c>
    </row>
    <row r="380" spans="1:7" x14ac:dyDescent="0.3">
      <c r="A380" t="s">
        <v>57</v>
      </c>
      <c r="B380" t="s">
        <v>35</v>
      </c>
      <c r="C380" t="s">
        <v>35</v>
      </c>
      <c r="D380" t="s">
        <v>36</v>
      </c>
      <c r="E380" t="s">
        <v>37</v>
      </c>
      <c r="F380" t="s">
        <v>100</v>
      </c>
      <c r="G380">
        <v>3744.87</v>
      </c>
    </row>
    <row r="381" spans="1:7" x14ac:dyDescent="0.3">
      <c r="A381" t="s">
        <v>125</v>
      </c>
      <c r="B381" t="s">
        <v>21</v>
      </c>
      <c r="C381" t="s">
        <v>22</v>
      </c>
      <c r="D381" t="s">
        <v>32</v>
      </c>
      <c r="E381" t="s">
        <v>33</v>
      </c>
      <c r="F381" t="s">
        <v>19</v>
      </c>
      <c r="G381">
        <v>3685.74</v>
      </c>
    </row>
    <row r="382" spans="1:7" x14ac:dyDescent="0.3">
      <c r="A382" t="s">
        <v>120</v>
      </c>
      <c r="B382" t="s">
        <v>55</v>
      </c>
      <c r="C382" t="s">
        <v>56</v>
      </c>
      <c r="D382" t="s">
        <v>11</v>
      </c>
      <c r="E382" t="s">
        <v>12</v>
      </c>
      <c r="F382" t="s">
        <v>38</v>
      </c>
      <c r="G382">
        <v>1624.4</v>
      </c>
    </row>
    <row r="383" spans="1:7" x14ac:dyDescent="0.3">
      <c r="A383" t="s">
        <v>176</v>
      </c>
      <c r="B383" t="s">
        <v>55</v>
      </c>
      <c r="C383" t="s">
        <v>56</v>
      </c>
      <c r="D383" t="s">
        <v>32</v>
      </c>
      <c r="E383" t="s">
        <v>28</v>
      </c>
      <c r="F383" t="s">
        <v>64</v>
      </c>
      <c r="G383">
        <v>1996.42</v>
      </c>
    </row>
    <row r="384" spans="1:7" x14ac:dyDescent="0.3">
      <c r="A384" t="s">
        <v>199</v>
      </c>
      <c r="B384" t="s">
        <v>41</v>
      </c>
      <c r="C384" t="s">
        <v>42</v>
      </c>
      <c r="D384" t="s">
        <v>11</v>
      </c>
      <c r="E384" t="s">
        <v>12</v>
      </c>
      <c r="F384" t="s">
        <v>13</v>
      </c>
      <c r="G384">
        <v>921.84</v>
      </c>
    </row>
    <row r="385" spans="1:7" x14ac:dyDescent="0.3">
      <c r="A385" t="s">
        <v>241</v>
      </c>
      <c r="B385" t="s">
        <v>24</v>
      </c>
      <c r="C385" t="s">
        <v>25</v>
      </c>
      <c r="D385" t="s">
        <v>11</v>
      </c>
      <c r="E385" t="s">
        <v>28</v>
      </c>
      <c r="F385" t="s">
        <v>19</v>
      </c>
      <c r="G385">
        <v>1199.3499999999999</v>
      </c>
    </row>
    <row r="386" spans="1:7" x14ac:dyDescent="0.3">
      <c r="A386" t="s">
        <v>157</v>
      </c>
      <c r="B386" t="s">
        <v>24</v>
      </c>
      <c r="C386" t="s">
        <v>25</v>
      </c>
      <c r="D386" t="s">
        <v>36</v>
      </c>
      <c r="E386" t="s">
        <v>37</v>
      </c>
      <c r="F386" t="s">
        <v>13</v>
      </c>
      <c r="G386">
        <v>7355.88</v>
      </c>
    </row>
    <row r="387" spans="1:7" x14ac:dyDescent="0.3">
      <c r="A387" t="s">
        <v>99</v>
      </c>
      <c r="B387" t="s">
        <v>35</v>
      </c>
      <c r="C387" t="s">
        <v>35</v>
      </c>
      <c r="D387" t="s">
        <v>36</v>
      </c>
      <c r="E387" t="s">
        <v>37</v>
      </c>
      <c r="F387" t="s">
        <v>64</v>
      </c>
      <c r="G387">
        <v>3974.63</v>
      </c>
    </row>
    <row r="388" spans="1:7" x14ac:dyDescent="0.3">
      <c r="A388" t="s">
        <v>94</v>
      </c>
      <c r="B388" t="s">
        <v>62</v>
      </c>
      <c r="C388" t="s">
        <v>63</v>
      </c>
      <c r="D388" t="s">
        <v>48</v>
      </c>
      <c r="E388" t="s">
        <v>18</v>
      </c>
      <c r="F388" t="s">
        <v>64</v>
      </c>
      <c r="G388">
        <v>2613.91</v>
      </c>
    </row>
    <row r="389" spans="1:7" x14ac:dyDescent="0.3">
      <c r="A389" t="s">
        <v>188</v>
      </c>
      <c r="B389" t="s">
        <v>55</v>
      </c>
      <c r="C389" t="s">
        <v>56</v>
      </c>
      <c r="D389" t="s">
        <v>11</v>
      </c>
      <c r="E389" t="s">
        <v>12</v>
      </c>
      <c r="F389" t="s">
        <v>19</v>
      </c>
      <c r="G389">
        <v>530.53</v>
      </c>
    </row>
    <row r="390" spans="1:7" x14ac:dyDescent="0.3">
      <c r="A390" t="s">
        <v>127</v>
      </c>
      <c r="B390" t="s">
        <v>35</v>
      </c>
      <c r="C390" t="s">
        <v>35</v>
      </c>
      <c r="D390" t="s">
        <v>32</v>
      </c>
      <c r="E390" t="s">
        <v>108</v>
      </c>
      <c r="F390" t="s">
        <v>19</v>
      </c>
      <c r="G390">
        <v>931.36</v>
      </c>
    </row>
    <row r="391" spans="1:7" x14ac:dyDescent="0.3">
      <c r="A391" t="s">
        <v>253</v>
      </c>
      <c r="B391" t="s">
        <v>21</v>
      </c>
      <c r="C391" t="s">
        <v>22</v>
      </c>
      <c r="D391" t="s">
        <v>48</v>
      </c>
      <c r="E391" t="s">
        <v>18</v>
      </c>
      <c r="F391" t="s">
        <v>38</v>
      </c>
      <c r="G391">
        <v>1490.65</v>
      </c>
    </row>
    <row r="392" spans="1:7" x14ac:dyDescent="0.3">
      <c r="A392" t="s">
        <v>207</v>
      </c>
      <c r="B392" t="s">
        <v>55</v>
      </c>
      <c r="C392" t="s">
        <v>56</v>
      </c>
      <c r="D392" t="s">
        <v>36</v>
      </c>
      <c r="E392" t="s">
        <v>18</v>
      </c>
      <c r="F392" t="s">
        <v>19</v>
      </c>
      <c r="G392">
        <v>7216.33</v>
      </c>
    </row>
    <row r="393" spans="1:7" x14ac:dyDescent="0.3">
      <c r="A393" t="s">
        <v>44</v>
      </c>
      <c r="B393" t="s">
        <v>21</v>
      </c>
      <c r="C393" t="s">
        <v>22</v>
      </c>
      <c r="D393" t="s">
        <v>11</v>
      </c>
      <c r="E393" t="s">
        <v>118</v>
      </c>
      <c r="F393" t="s">
        <v>13</v>
      </c>
      <c r="G393">
        <v>1228.23</v>
      </c>
    </row>
    <row r="394" spans="1:7" x14ac:dyDescent="0.3">
      <c r="A394" t="s">
        <v>254</v>
      </c>
      <c r="B394" t="s">
        <v>41</v>
      </c>
      <c r="C394" t="s">
        <v>42</v>
      </c>
      <c r="D394" t="s">
        <v>36</v>
      </c>
      <c r="E394" t="s">
        <v>50</v>
      </c>
      <c r="F394" t="s">
        <v>19</v>
      </c>
      <c r="G394">
        <v>13329.53</v>
      </c>
    </row>
    <row r="395" spans="1:7" x14ac:dyDescent="0.3">
      <c r="A395" t="s">
        <v>255</v>
      </c>
      <c r="B395" t="s">
        <v>55</v>
      </c>
      <c r="C395" t="s">
        <v>56</v>
      </c>
      <c r="D395" t="s">
        <v>32</v>
      </c>
      <c r="E395" t="s">
        <v>103</v>
      </c>
      <c r="F395" t="s">
        <v>19</v>
      </c>
      <c r="G395">
        <v>2194.75</v>
      </c>
    </row>
    <row r="396" spans="1:7" x14ac:dyDescent="0.3">
      <c r="A396" t="s">
        <v>136</v>
      </c>
      <c r="B396" t="s">
        <v>30</v>
      </c>
      <c r="C396" t="s">
        <v>31</v>
      </c>
      <c r="D396" t="s">
        <v>32</v>
      </c>
      <c r="E396" t="s">
        <v>103</v>
      </c>
      <c r="F396" t="s">
        <v>19</v>
      </c>
      <c r="G396">
        <v>3151</v>
      </c>
    </row>
    <row r="397" spans="1:7" x14ac:dyDescent="0.3">
      <c r="A397" t="s">
        <v>223</v>
      </c>
      <c r="B397" t="s">
        <v>41</v>
      </c>
      <c r="C397" t="s">
        <v>42</v>
      </c>
      <c r="D397" t="s">
        <v>11</v>
      </c>
      <c r="E397" t="s">
        <v>18</v>
      </c>
      <c r="F397" t="s">
        <v>64</v>
      </c>
      <c r="G397">
        <v>1005.02</v>
      </c>
    </row>
    <row r="398" spans="1:7" x14ac:dyDescent="0.3">
      <c r="A398" t="s">
        <v>65</v>
      </c>
      <c r="B398" t="s">
        <v>62</v>
      </c>
      <c r="C398" t="s">
        <v>63</v>
      </c>
      <c r="D398" t="s">
        <v>32</v>
      </c>
      <c r="E398" t="s">
        <v>103</v>
      </c>
      <c r="F398" t="s">
        <v>19</v>
      </c>
      <c r="G398">
        <v>355.26</v>
      </c>
    </row>
    <row r="399" spans="1:7" x14ac:dyDescent="0.3">
      <c r="A399" t="s">
        <v>186</v>
      </c>
      <c r="B399" t="s">
        <v>24</v>
      </c>
      <c r="C399" t="s">
        <v>25</v>
      </c>
      <c r="D399" t="s">
        <v>11</v>
      </c>
      <c r="E399" t="s">
        <v>118</v>
      </c>
      <c r="F399" t="s">
        <v>19</v>
      </c>
      <c r="G399">
        <v>354.63</v>
      </c>
    </row>
    <row r="400" spans="1:7" x14ac:dyDescent="0.3">
      <c r="A400" t="s">
        <v>149</v>
      </c>
      <c r="B400" t="s">
        <v>55</v>
      </c>
      <c r="C400" t="s">
        <v>56</v>
      </c>
      <c r="D400" t="s">
        <v>32</v>
      </c>
      <c r="E400" t="s">
        <v>18</v>
      </c>
      <c r="F400" t="s">
        <v>64</v>
      </c>
      <c r="G400">
        <v>913.14</v>
      </c>
    </row>
    <row r="401" spans="1:7" x14ac:dyDescent="0.3">
      <c r="A401" t="s">
        <v>106</v>
      </c>
      <c r="B401" t="s">
        <v>24</v>
      </c>
      <c r="C401" t="s">
        <v>25</v>
      </c>
      <c r="D401" t="s">
        <v>11</v>
      </c>
      <c r="E401" t="s">
        <v>118</v>
      </c>
      <c r="F401" t="s">
        <v>13</v>
      </c>
      <c r="G401">
        <v>1913.1</v>
      </c>
    </row>
    <row r="402" spans="1:7" x14ac:dyDescent="0.3">
      <c r="A402" t="s">
        <v>200</v>
      </c>
      <c r="B402" t="s">
        <v>59</v>
      </c>
      <c r="C402" t="s">
        <v>60</v>
      </c>
      <c r="D402" t="s">
        <v>158</v>
      </c>
      <c r="E402" t="s">
        <v>28</v>
      </c>
      <c r="F402" t="s">
        <v>137</v>
      </c>
      <c r="G402">
        <v>33.83</v>
      </c>
    </row>
    <row r="403" spans="1:7" x14ac:dyDescent="0.3">
      <c r="A403" t="s">
        <v>109</v>
      </c>
      <c r="B403" t="s">
        <v>41</v>
      </c>
      <c r="C403" t="s">
        <v>42</v>
      </c>
      <c r="D403" t="s">
        <v>36</v>
      </c>
      <c r="E403" t="s">
        <v>18</v>
      </c>
      <c r="F403" t="s">
        <v>19</v>
      </c>
      <c r="G403">
        <v>2315.6</v>
      </c>
    </row>
    <row r="404" spans="1:7" x14ac:dyDescent="0.3">
      <c r="A404" t="s">
        <v>239</v>
      </c>
      <c r="B404" t="s">
        <v>30</v>
      </c>
      <c r="C404" t="s">
        <v>31</v>
      </c>
      <c r="D404" t="s">
        <v>32</v>
      </c>
      <c r="E404" t="s">
        <v>33</v>
      </c>
      <c r="F404" t="s">
        <v>19</v>
      </c>
      <c r="G404">
        <v>2833.75</v>
      </c>
    </row>
    <row r="405" spans="1:7" x14ac:dyDescent="0.3">
      <c r="A405" t="s">
        <v>166</v>
      </c>
      <c r="B405" t="s">
        <v>59</v>
      </c>
      <c r="C405" t="s">
        <v>60</v>
      </c>
      <c r="D405" t="s">
        <v>48</v>
      </c>
      <c r="E405" t="s">
        <v>18</v>
      </c>
      <c r="F405" t="s">
        <v>13</v>
      </c>
      <c r="G405">
        <v>9504.5499999999993</v>
      </c>
    </row>
    <row r="406" spans="1:7" x14ac:dyDescent="0.3">
      <c r="A406" t="s">
        <v>175</v>
      </c>
      <c r="B406" t="s">
        <v>15</v>
      </c>
      <c r="C406" t="s">
        <v>16</v>
      </c>
      <c r="D406" t="s">
        <v>11</v>
      </c>
      <c r="E406" t="s">
        <v>28</v>
      </c>
      <c r="F406" t="s">
        <v>19</v>
      </c>
      <c r="G406">
        <v>1295.22</v>
      </c>
    </row>
    <row r="407" spans="1:7" x14ac:dyDescent="0.3">
      <c r="A407" t="s">
        <v>215</v>
      </c>
      <c r="B407" t="s">
        <v>30</v>
      </c>
      <c r="C407" t="s">
        <v>31</v>
      </c>
      <c r="D407" t="s">
        <v>32</v>
      </c>
      <c r="E407" t="s">
        <v>28</v>
      </c>
      <c r="F407" t="s">
        <v>13</v>
      </c>
      <c r="G407">
        <v>343.3</v>
      </c>
    </row>
    <row r="408" spans="1:7" x14ac:dyDescent="0.3">
      <c r="A408" t="s">
        <v>256</v>
      </c>
      <c r="B408" t="s">
        <v>9</v>
      </c>
      <c r="C408" t="s">
        <v>10</v>
      </c>
      <c r="D408" t="s">
        <v>50</v>
      </c>
      <c r="E408" t="s">
        <v>50</v>
      </c>
      <c r="F408" t="s">
        <v>19</v>
      </c>
      <c r="G408">
        <v>46051.67</v>
      </c>
    </row>
    <row r="409" spans="1:7" x14ac:dyDescent="0.3">
      <c r="A409" t="s">
        <v>257</v>
      </c>
      <c r="B409" t="s">
        <v>15</v>
      </c>
      <c r="C409" t="s">
        <v>16</v>
      </c>
      <c r="D409" t="s">
        <v>36</v>
      </c>
      <c r="E409" t="s">
        <v>50</v>
      </c>
      <c r="F409" t="s">
        <v>19</v>
      </c>
      <c r="G409">
        <v>11290.31</v>
      </c>
    </row>
    <row r="410" spans="1:7" x14ac:dyDescent="0.3">
      <c r="A410" t="s">
        <v>134</v>
      </c>
      <c r="B410" t="s">
        <v>35</v>
      </c>
      <c r="C410" t="s">
        <v>35</v>
      </c>
      <c r="D410" t="s">
        <v>32</v>
      </c>
      <c r="E410" t="s">
        <v>108</v>
      </c>
      <c r="F410" t="s">
        <v>19</v>
      </c>
      <c r="G410">
        <v>459.49</v>
      </c>
    </row>
    <row r="411" spans="1:7" x14ac:dyDescent="0.3">
      <c r="A411" t="s">
        <v>258</v>
      </c>
      <c r="B411" t="s">
        <v>62</v>
      </c>
      <c r="C411" t="s">
        <v>63</v>
      </c>
      <c r="D411" t="s">
        <v>11</v>
      </c>
      <c r="E411" t="s">
        <v>114</v>
      </c>
      <c r="F411" t="s">
        <v>19</v>
      </c>
      <c r="G411">
        <v>676.85</v>
      </c>
    </row>
    <row r="412" spans="1:7" x14ac:dyDescent="0.3">
      <c r="A412" t="s">
        <v>199</v>
      </c>
      <c r="B412" t="s">
        <v>41</v>
      </c>
      <c r="C412" t="s">
        <v>42</v>
      </c>
      <c r="D412" t="s">
        <v>158</v>
      </c>
      <c r="E412" t="s">
        <v>28</v>
      </c>
      <c r="F412" t="s">
        <v>137</v>
      </c>
      <c r="G412">
        <v>366.92</v>
      </c>
    </row>
    <row r="413" spans="1:7" x14ac:dyDescent="0.3">
      <c r="A413" t="s">
        <v>151</v>
      </c>
      <c r="B413" t="s">
        <v>62</v>
      </c>
      <c r="C413" t="s">
        <v>63</v>
      </c>
      <c r="D413" t="s">
        <v>48</v>
      </c>
      <c r="E413" t="s">
        <v>18</v>
      </c>
      <c r="F413" t="s">
        <v>13</v>
      </c>
      <c r="G413">
        <v>2380.6799999999998</v>
      </c>
    </row>
    <row r="414" spans="1:7" x14ac:dyDescent="0.3">
      <c r="A414" t="s">
        <v>224</v>
      </c>
      <c r="B414" t="s">
        <v>30</v>
      </c>
      <c r="C414" t="s">
        <v>31</v>
      </c>
      <c r="D414" t="s">
        <v>32</v>
      </c>
      <c r="E414" t="s">
        <v>28</v>
      </c>
      <c r="F414" t="s">
        <v>38</v>
      </c>
      <c r="G414">
        <v>1980.07</v>
      </c>
    </row>
    <row r="415" spans="1:7" x14ac:dyDescent="0.3">
      <c r="A415" t="s">
        <v>220</v>
      </c>
      <c r="B415" t="s">
        <v>24</v>
      </c>
      <c r="C415" t="s">
        <v>25</v>
      </c>
      <c r="D415" t="s">
        <v>53</v>
      </c>
      <c r="E415" t="s">
        <v>18</v>
      </c>
      <c r="F415" t="s">
        <v>64</v>
      </c>
      <c r="G415">
        <v>70098.61</v>
      </c>
    </row>
    <row r="416" spans="1:7" x14ac:dyDescent="0.3">
      <c r="A416" t="s">
        <v>259</v>
      </c>
      <c r="B416" t="s">
        <v>55</v>
      </c>
      <c r="C416" t="s">
        <v>56</v>
      </c>
      <c r="D416" t="s">
        <v>32</v>
      </c>
      <c r="E416" t="s">
        <v>43</v>
      </c>
      <c r="F416" t="s">
        <v>100</v>
      </c>
      <c r="G416">
        <v>2406.2600000000002</v>
      </c>
    </row>
    <row r="417" spans="1:7" x14ac:dyDescent="0.3">
      <c r="A417" t="s">
        <v>193</v>
      </c>
      <c r="B417" t="s">
        <v>21</v>
      </c>
      <c r="C417" t="s">
        <v>22</v>
      </c>
      <c r="D417" t="s">
        <v>32</v>
      </c>
      <c r="E417" t="s">
        <v>103</v>
      </c>
      <c r="F417" t="s">
        <v>64</v>
      </c>
      <c r="G417">
        <v>1174.33</v>
      </c>
    </row>
    <row r="418" spans="1:7" x14ac:dyDescent="0.3">
      <c r="A418" t="s">
        <v>169</v>
      </c>
      <c r="B418" t="s">
        <v>35</v>
      </c>
      <c r="C418" t="s">
        <v>35</v>
      </c>
      <c r="D418" t="s">
        <v>11</v>
      </c>
      <c r="E418" t="s">
        <v>114</v>
      </c>
      <c r="F418" t="s">
        <v>19</v>
      </c>
      <c r="G418">
        <v>1074.8399999999999</v>
      </c>
    </row>
    <row r="419" spans="1:7" x14ac:dyDescent="0.3">
      <c r="A419" t="s">
        <v>168</v>
      </c>
      <c r="B419" t="s">
        <v>24</v>
      </c>
      <c r="C419" t="s">
        <v>25</v>
      </c>
      <c r="D419" t="s">
        <v>48</v>
      </c>
      <c r="E419" t="s">
        <v>18</v>
      </c>
      <c r="F419" t="s">
        <v>19</v>
      </c>
      <c r="G419">
        <v>1113.6099999999999</v>
      </c>
    </row>
    <row r="420" spans="1:7" x14ac:dyDescent="0.3">
      <c r="A420" t="s">
        <v>180</v>
      </c>
      <c r="B420" t="s">
        <v>59</v>
      </c>
      <c r="C420" t="s">
        <v>60</v>
      </c>
      <c r="D420" t="s">
        <v>48</v>
      </c>
      <c r="E420" t="s">
        <v>18</v>
      </c>
      <c r="F420" t="s">
        <v>38</v>
      </c>
      <c r="G420">
        <v>8438.07</v>
      </c>
    </row>
    <row r="421" spans="1:7" x14ac:dyDescent="0.3">
      <c r="A421" t="s">
        <v>260</v>
      </c>
      <c r="B421" t="s">
        <v>55</v>
      </c>
      <c r="C421" t="s">
        <v>56</v>
      </c>
      <c r="D421" t="s">
        <v>11</v>
      </c>
      <c r="E421" t="s">
        <v>118</v>
      </c>
      <c r="F421" t="s">
        <v>19</v>
      </c>
      <c r="G421">
        <v>867</v>
      </c>
    </row>
    <row r="422" spans="1:7" x14ac:dyDescent="0.3">
      <c r="A422" t="s">
        <v>183</v>
      </c>
      <c r="B422" t="s">
        <v>24</v>
      </c>
      <c r="C422" t="s">
        <v>25</v>
      </c>
      <c r="D422" t="s">
        <v>17</v>
      </c>
      <c r="E422" t="s">
        <v>18</v>
      </c>
      <c r="F422" t="s">
        <v>137</v>
      </c>
      <c r="G422">
        <v>18.46</v>
      </c>
    </row>
    <row r="423" spans="1:7" x14ac:dyDescent="0.3">
      <c r="A423" t="s">
        <v>261</v>
      </c>
      <c r="B423" t="s">
        <v>41</v>
      </c>
      <c r="C423" t="s">
        <v>42</v>
      </c>
      <c r="D423" t="s">
        <v>36</v>
      </c>
      <c r="E423" t="s">
        <v>50</v>
      </c>
      <c r="F423" t="s">
        <v>19</v>
      </c>
      <c r="G423">
        <v>1291.92</v>
      </c>
    </row>
    <row r="424" spans="1:7" x14ac:dyDescent="0.3">
      <c r="A424" t="s">
        <v>262</v>
      </c>
      <c r="B424" t="s">
        <v>41</v>
      </c>
      <c r="C424" t="s">
        <v>42</v>
      </c>
      <c r="D424" t="s">
        <v>32</v>
      </c>
      <c r="E424" t="s">
        <v>93</v>
      </c>
      <c r="F424" t="s">
        <v>19</v>
      </c>
      <c r="G424">
        <v>3174.44</v>
      </c>
    </row>
    <row r="425" spans="1:7" x14ac:dyDescent="0.3">
      <c r="A425" t="s">
        <v>52</v>
      </c>
      <c r="B425" t="s">
        <v>9</v>
      </c>
      <c r="C425" t="s">
        <v>10</v>
      </c>
      <c r="D425" t="s">
        <v>11</v>
      </c>
      <c r="E425" t="s">
        <v>26</v>
      </c>
      <c r="F425" t="s">
        <v>137</v>
      </c>
      <c r="G425">
        <v>504.07</v>
      </c>
    </row>
    <row r="426" spans="1:7" x14ac:dyDescent="0.3">
      <c r="A426" t="s">
        <v>173</v>
      </c>
      <c r="B426" t="s">
        <v>35</v>
      </c>
      <c r="C426" t="s">
        <v>35</v>
      </c>
      <c r="D426" t="s">
        <v>32</v>
      </c>
      <c r="E426" t="s">
        <v>93</v>
      </c>
      <c r="F426" t="s">
        <v>19</v>
      </c>
      <c r="G426">
        <v>174.84</v>
      </c>
    </row>
    <row r="427" spans="1:7" x14ac:dyDescent="0.3">
      <c r="A427" t="s">
        <v>29</v>
      </c>
      <c r="B427" t="s">
        <v>30</v>
      </c>
      <c r="C427" t="s">
        <v>31</v>
      </c>
      <c r="D427" t="s">
        <v>50</v>
      </c>
      <c r="E427" t="s">
        <v>50</v>
      </c>
      <c r="F427" t="s">
        <v>13</v>
      </c>
      <c r="G427">
        <v>29678.47</v>
      </c>
    </row>
    <row r="428" spans="1:7" x14ac:dyDescent="0.3">
      <c r="A428" t="s">
        <v>106</v>
      </c>
      <c r="B428" t="s">
        <v>24</v>
      </c>
      <c r="C428" t="s">
        <v>25</v>
      </c>
      <c r="D428" t="s">
        <v>11</v>
      </c>
      <c r="E428" t="s">
        <v>12</v>
      </c>
      <c r="F428" t="s">
        <v>19</v>
      </c>
      <c r="G428">
        <v>116.45</v>
      </c>
    </row>
    <row r="429" spans="1:7" x14ac:dyDescent="0.3">
      <c r="A429" t="s">
        <v>245</v>
      </c>
      <c r="B429" t="s">
        <v>59</v>
      </c>
      <c r="C429" t="s">
        <v>60</v>
      </c>
      <c r="D429" t="s">
        <v>48</v>
      </c>
      <c r="E429" t="s">
        <v>18</v>
      </c>
      <c r="F429" t="s">
        <v>19</v>
      </c>
      <c r="G429">
        <v>4255.55</v>
      </c>
    </row>
    <row r="430" spans="1:7" x14ac:dyDescent="0.3">
      <c r="A430" t="s">
        <v>156</v>
      </c>
      <c r="B430" t="s">
        <v>62</v>
      </c>
      <c r="C430" t="s">
        <v>63</v>
      </c>
      <c r="D430" t="s">
        <v>158</v>
      </c>
      <c r="E430" t="s">
        <v>18</v>
      </c>
      <c r="F430" t="s">
        <v>19</v>
      </c>
      <c r="G430">
        <v>440.47</v>
      </c>
    </row>
    <row r="431" spans="1:7" x14ac:dyDescent="0.3">
      <c r="A431" t="s">
        <v>185</v>
      </c>
      <c r="B431" t="s">
        <v>24</v>
      </c>
      <c r="C431" t="s">
        <v>25</v>
      </c>
      <c r="D431" t="s">
        <v>158</v>
      </c>
      <c r="E431" t="s">
        <v>159</v>
      </c>
      <c r="F431" t="s">
        <v>13</v>
      </c>
      <c r="G431">
        <v>228.84</v>
      </c>
    </row>
    <row r="432" spans="1:7" x14ac:dyDescent="0.3">
      <c r="A432" t="s">
        <v>207</v>
      </c>
      <c r="B432" t="s">
        <v>55</v>
      </c>
      <c r="C432" t="s">
        <v>56</v>
      </c>
      <c r="D432" t="s">
        <v>36</v>
      </c>
      <c r="E432" t="s">
        <v>37</v>
      </c>
      <c r="F432" t="s">
        <v>64</v>
      </c>
      <c r="G432">
        <v>9860.93</v>
      </c>
    </row>
    <row r="433" spans="1:7" x14ac:dyDescent="0.3">
      <c r="A433" t="s">
        <v>145</v>
      </c>
      <c r="B433" t="s">
        <v>55</v>
      </c>
      <c r="C433" t="s">
        <v>56</v>
      </c>
      <c r="D433" t="s">
        <v>11</v>
      </c>
      <c r="E433" t="s">
        <v>18</v>
      </c>
      <c r="F433" t="s">
        <v>19</v>
      </c>
      <c r="G433">
        <v>1825.85</v>
      </c>
    </row>
    <row r="434" spans="1:7" x14ac:dyDescent="0.3">
      <c r="A434" t="s">
        <v>145</v>
      </c>
      <c r="B434" t="s">
        <v>55</v>
      </c>
      <c r="C434" t="s">
        <v>56</v>
      </c>
      <c r="D434" t="s">
        <v>32</v>
      </c>
      <c r="E434" t="s">
        <v>108</v>
      </c>
      <c r="F434" t="s">
        <v>13</v>
      </c>
      <c r="G434">
        <v>1693.98</v>
      </c>
    </row>
    <row r="435" spans="1:7" x14ac:dyDescent="0.3">
      <c r="A435" t="s">
        <v>251</v>
      </c>
      <c r="B435" t="s">
        <v>41</v>
      </c>
      <c r="C435" t="s">
        <v>42</v>
      </c>
      <c r="D435" t="s">
        <v>11</v>
      </c>
      <c r="E435" t="s">
        <v>18</v>
      </c>
      <c r="F435" t="s">
        <v>19</v>
      </c>
      <c r="G435">
        <v>207.3</v>
      </c>
    </row>
    <row r="436" spans="1:7" x14ac:dyDescent="0.3">
      <c r="A436" t="s">
        <v>101</v>
      </c>
      <c r="B436" t="s">
        <v>9</v>
      </c>
      <c r="C436" t="s">
        <v>10</v>
      </c>
      <c r="D436" t="s">
        <v>32</v>
      </c>
      <c r="E436" t="s">
        <v>28</v>
      </c>
      <c r="F436" t="s">
        <v>13</v>
      </c>
      <c r="G436">
        <v>2650.98</v>
      </c>
    </row>
    <row r="437" spans="1:7" x14ac:dyDescent="0.3">
      <c r="A437" t="s">
        <v>160</v>
      </c>
      <c r="B437" t="s">
        <v>41</v>
      </c>
      <c r="C437" t="s">
        <v>42</v>
      </c>
      <c r="D437" t="s">
        <v>11</v>
      </c>
      <c r="E437" t="s">
        <v>18</v>
      </c>
      <c r="F437" t="s">
        <v>137</v>
      </c>
      <c r="G437">
        <v>406.08</v>
      </c>
    </row>
    <row r="438" spans="1:7" x14ac:dyDescent="0.3">
      <c r="A438" t="s">
        <v>203</v>
      </c>
      <c r="B438" t="s">
        <v>62</v>
      </c>
      <c r="C438" t="s">
        <v>63</v>
      </c>
      <c r="D438" t="s">
        <v>36</v>
      </c>
      <c r="E438" t="s">
        <v>37</v>
      </c>
      <c r="F438" t="s">
        <v>64</v>
      </c>
      <c r="G438">
        <v>7874.84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6306-7631-4956-BACF-0D58BEC6D447}">
  <dimension ref="A1:S67"/>
  <sheetViews>
    <sheetView tabSelected="1" workbookViewId="0">
      <selection activeCell="D6" sqref="D6"/>
    </sheetView>
  </sheetViews>
  <sheetFormatPr defaultRowHeight="15.6" x14ac:dyDescent="0.3"/>
  <cols>
    <col min="4" max="4" width="15.5" bestFit="1" customWidth="1"/>
    <col min="5" max="5" width="9.3984375" bestFit="1" customWidth="1"/>
    <col min="7" max="7" width="9.8984375" bestFit="1" customWidth="1"/>
    <col min="8" max="8" width="8.8984375" bestFit="1" customWidth="1"/>
  </cols>
  <sheetData>
    <row r="1" spans="1:19" x14ac:dyDescent="0.3">
      <c r="A1" t="s">
        <v>2</v>
      </c>
    </row>
    <row r="2" spans="1:19" x14ac:dyDescent="0.3">
      <c r="A2" t="str" cm="1">
        <f t="array" ref="A2:A11">_xlfn.UNIQUE(Data!C2:C438)</f>
        <v>UK</v>
      </c>
    </row>
    <row r="3" spans="1:19" x14ac:dyDescent="0.3">
      <c r="A3" t="str">
        <v>Japan</v>
      </c>
    </row>
    <row r="4" spans="1:19" x14ac:dyDescent="0.3">
      <c r="A4" t="str">
        <v>Canada</v>
      </c>
      <c r="C4" t="s">
        <v>100</v>
      </c>
    </row>
    <row r="5" spans="1:19" x14ac:dyDescent="0.3">
      <c r="A5" t="str">
        <v>USA</v>
      </c>
    </row>
    <row r="6" spans="1:19" x14ac:dyDescent="0.3">
      <c r="A6" t="str">
        <v>Australia</v>
      </c>
    </row>
    <row r="7" spans="1:19" x14ac:dyDescent="0.3">
      <c r="A7" t="str">
        <v>Singapore</v>
      </c>
    </row>
    <row r="8" spans="1:19" x14ac:dyDescent="0.3">
      <c r="A8" t="str">
        <v>Germany</v>
      </c>
    </row>
    <row r="9" spans="1:19" x14ac:dyDescent="0.3">
      <c r="A9" t="str">
        <v>UAE</v>
      </c>
    </row>
    <row r="10" spans="1:19" x14ac:dyDescent="0.3">
      <c r="A10" t="str">
        <v>India</v>
      </c>
    </row>
    <row r="11" spans="1:19" x14ac:dyDescent="0.3">
      <c r="A11" t="str">
        <v>China</v>
      </c>
    </row>
    <row r="12" spans="1:19" x14ac:dyDescent="0.3">
      <c r="B12" s="11" t="s">
        <v>92</v>
      </c>
    </row>
    <row r="13" spans="1:19" x14ac:dyDescent="0.3">
      <c r="B13" t="s">
        <v>63</v>
      </c>
      <c r="D13" t="str" cm="1">
        <f t="array" ref="D13:J67">_xlfn._xlws.FILTER(Data!A2:G438,Data!C2:C438=Sheet12!B13)</f>
        <v>Aisha Ahmed</v>
      </c>
      <c r="E13" t="str">
        <v>Hong Kong</v>
      </c>
      <c r="F13" t="str">
        <v>China</v>
      </c>
      <c r="G13" t="str">
        <v>Withdrawal</v>
      </c>
      <c r="H13" t="str">
        <v>Entertainment</v>
      </c>
      <c r="I13" t="str">
        <v>GBP</v>
      </c>
      <c r="J13">
        <v>385.87</v>
      </c>
      <c r="M13" t="str" cm="1">
        <f t="array" ref="M13:S41">_xlfn._xlws.FILTER(Data!A2:G438,(Data!C2:C438=Sheet12!B13)*(Data!F2:F438="USD"))</f>
        <v>Li Martin</v>
      </c>
      <c r="N13" t="str">
        <v>Hong Kong</v>
      </c>
      <c r="O13" t="str">
        <v>China</v>
      </c>
      <c r="P13" t="str">
        <v>Deposit</v>
      </c>
      <c r="Q13" t="str">
        <v>Salary</v>
      </c>
      <c r="R13" t="str">
        <v>USD</v>
      </c>
      <c r="S13">
        <v>3931.9</v>
      </c>
    </row>
    <row r="14" spans="1:19" x14ac:dyDescent="0.3">
      <c r="D14" t="str">
        <v>Li Martin</v>
      </c>
      <c r="E14" t="str">
        <v>Hong Kong</v>
      </c>
      <c r="F14" t="str">
        <v>China</v>
      </c>
      <c r="G14" t="str">
        <v>Deposit</v>
      </c>
      <c r="H14" t="str">
        <v>Salary</v>
      </c>
      <c r="I14" t="str">
        <v>USD</v>
      </c>
      <c r="J14">
        <v>3931.9</v>
      </c>
      <c r="M14" t="str">
        <v>Anil Khan</v>
      </c>
      <c r="N14" t="str">
        <v>Hong Kong</v>
      </c>
      <c r="O14" t="str">
        <v>China</v>
      </c>
      <c r="P14" t="str">
        <v>Withdrawal</v>
      </c>
      <c r="Q14" t="str">
        <v>Entertainment</v>
      </c>
      <c r="R14" t="str">
        <v>USD</v>
      </c>
      <c r="S14">
        <v>1850.96</v>
      </c>
    </row>
    <row r="15" spans="1:19" x14ac:dyDescent="0.3">
      <c r="D15" t="str">
        <v>Aisha Kumar</v>
      </c>
      <c r="E15" t="str">
        <v>Hong Kong</v>
      </c>
      <c r="F15" t="str">
        <v>China</v>
      </c>
      <c r="G15" t="str">
        <v>Fee</v>
      </c>
      <c r="H15" t="str">
        <v>Other</v>
      </c>
      <c r="I15" t="str">
        <v>EUR</v>
      </c>
      <c r="J15">
        <v>19.21</v>
      </c>
      <c r="M15" t="str">
        <v>Pierre Gonzalez</v>
      </c>
      <c r="N15" t="str">
        <v>Hong Kong</v>
      </c>
      <c r="O15" t="str">
        <v>China</v>
      </c>
      <c r="P15" t="str">
        <v>Investment</v>
      </c>
      <c r="Q15" t="str">
        <v>Investment</v>
      </c>
      <c r="R15" t="str">
        <v>USD</v>
      </c>
      <c r="S15">
        <v>34866.89</v>
      </c>
    </row>
    <row r="16" spans="1:19" x14ac:dyDescent="0.3">
      <c r="D16" t="str">
        <v>Linda Cohen</v>
      </c>
      <c r="E16" t="str">
        <v>Hong Kong</v>
      </c>
      <c r="F16" t="str">
        <v>China</v>
      </c>
      <c r="G16" t="str">
        <v>Transfer</v>
      </c>
      <c r="H16" t="str">
        <v>Other</v>
      </c>
      <c r="I16" t="str">
        <v>CNY</v>
      </c>
      <c r="J16">
        <v>1965.55</v>
      </c>
      <c r="M16" t="str">
        <v>John Sato</v>
      </c>
      <c r="N16" t="str">
        <v>Hong Kong</v>
      </c>
      <c r="O16" t="str">
        <v>China</v>
      </c>
      <c r="P16" t="str">
        <v>Deposit</v>
      </c>
      <c r="Q16" t="str">
        <v>Salary</v>
      </c>
      <c r="R16" t="str">
        <v>USD</v>
      </c>
      <c r="S16">
        <v>7750.52</v>
      </c>
    </row>
    <row r="17" spans="4:19" x14ac:dyDescent="0.3">
      <c r="D17" t="str">
        <v>Richard Singh</v>
      </c>
      <c r="E17" t="str">
        <v>Hong Kong</v>
      </c>
      <c r="F17" t="str">
        <v>China</v>
      </c>
      <c r="G17" t="str">
        <v>Fee</v>
      </c>
      <c r="H17" t="str">
        <v>Other</v>
      </c>
      <c r="I17" t="str">
        <v>EUR</v>
      </c>
      <c r="J17">
        <v>46.18</v>
      </c>
      <c r="M17" t="str">
        <v>Susan Sharma</v>
      </c>
      <c r="N17" t="str">
        <v>Hong Kong</v>
      </c>
      <c r="O17" t="str">
        <v>China</v>
      </c>
      <c r="P17" t="str">
        <v>Loan</v>
      </c>
      <c r="Q17" t="str">
        <v>Other</v>
      </c>
      <c r="R17" t="str">
        <v>USD</v>
      </c>
      <c r="S17">
        <v>8022.55</v>
      </c>
    </row>
    <row r="18" spans="4:19" x14ac:dyDescent="0.3">
      <c r="D18" t="str">
        <v>Elizabeth Moore</v>
      </c>
      <c r="E18" t="str">
        <v>Hong Kong</v>
      </c>
      <c r="F18" t="str">
        <v>China</v>
      </c>
      <c r="G18" t="str">
        <v>Transfer</v>
      </c>
      <c r="H18" t="str">
        <v>Other</v>
      </c>
      <c r="I18" t="str">
        <v>EUR</v>
      </c>
      <c r="J18">
        <v>4589.84</v>
      </c>
      <c r="M18" t="str">
        <v>John White</v>
      </c>
      <c r="N18" t="str">
        <v>Hong Kong</v>
      </c>
      <c r="O18" t="str">
        <v>China</v>
      </c>
      <c r="P18" t="str">
        <v>Payment</v>
      </c>
      <c r="Q18" t="str">
        <v>Utilities</v>
      </c>
      <c r="R18" t="str">
        <v>USD</v>
      </c>
      <c r="S18">
        <v>1874.99</v>
      </c>
    </row>
    <row r="19" spans="4:19" x14ac:dyDescent="0.3">
      <c r="D19" t="str">
        <v>Aisha Ahmed</v>
      </c>
      <c r="E19" t="str">
        <v>Hong Kong</v>
      </c>
      <c r="F19" t="str">
        <v>China</v>
      </c>
      <c r="G19" t="str">
        <v>Withdrawal</v>
      </c>
      <c r="H19" t="str">
        <v>Dining</v>
      </c>
      <c r="I19" t="str">
        <v>GBP</v>
      </c>
      <c r="J19">
        <v>1650.58</v>
      </c>
      <c r="M19" t="str">
        <v>Susan Chen</v>
      </c>
      <c r="N19" t="str">
        <v>Hong Kong</v>
      </c>
      <c r="O19" t="str">
        <v>China</v>
      </c>
      <c r="P19" t="str">
        <v>Deposit</v>
      </c>
      <c r="Q19" t="str">
        <v>Salary</v>
      </c>
      <c r="R19" t="str">
        <v>USD</v>
      </c>
      <c r="S19">
        <v>11320.15</v>
      </c>
    </row>
    <row r="20" spans="4:19" x14ac:dyDescent="0.3">
      <c r="D20" t="str">
        <v>Li Gonzalez</v>
      </c>
      <c r="E20" t="str">
        <v>Hong Kong</v>
      </c>
      <c r="F20" t="str">
        <v>China</v>
      </c>
      <c r="G20" t="str">
        <v>Withdrawal</v>
      </c>
      <c r="H20" t="str">
        <v>Transport</v>
      </c>
      <c r="I20" t="str">
        <v>GBP</v>
      </c>
      <c r="J20">
        <v>1919.92</v>
      </c>
      <c r="M20" t="str">
        <v>Linda Cohen</v>
      </c>
      <c r="N20" t="str">
        <v>Hong Kong</v>
      </c>
      <c r="O20" t="str">
        <v>China</v>
      </c>
      <c r="P20" t="str">
        <v>Withdrawal</v>
      </c>
      <c r="Q20" t="str">
        <v>Shopping</v>
      </c>
      <c r="R20" t="str">
        <v>USD</v>
      </c>
      <c r="S20">
        <v>1434.73</v>
      </c>
    </row>
    <row r="21" spans="4:19" x14ac:dyDescent="0.3">
      <c r="D21" t="str">
        <v>Aisha Ahmed</v>
      </c>
      <c r="E21" t="str">
        <v>Hong Kong</v>
      </c>
      <c r="F21" t="str">
        <v>China</v>
      </c>
      <c r="G21" t="str">
        <v>Transfer</v>
      </c>
      <c r="H21" t="str">
        <v>Other</v>
      </c>
      <c r="I21" t="str">
        <v>INR</v>
      </c>
      <c r="J21">
        <v>9822.49</v>
      </c>
      <c r="M21" t="str">
        <v>Ivan Wang</v>
      </c>
      <c r="N21" t="str">
        <v>Hong Kong</v>
      </c>
      <c r="O21" t="str">
        <v>China</v>
      </c>
      <c r="P21" t="str">
        <v>Deposit</v>
      </c>
      <c r="Q21" t="str">
        <v>Investment</v>
      </c>
      <c r="R21" t="str">
        <v>USD</v>
      </c>
      <c r="S21">
        <v>9350.98</v>
      </c>
    </row>
    <row r="22" spans="4:19" x14ac:dyDescent="0.3">
      <c r="D22" t="str">
        <v>Anil Khan</v>
      </c>
      <c r="E22" t="str">
        <v>Hong Kong</v>
      </c>
      <c r="F22" t="str">
        <v>China</v>
      </c>
      <c r="G22" t="str">
        <v>Withdrawal</v>
      </c>
      <c r="H22" t="str">
        <v>Entertainment</v>
      </c>
      <c r="I22" t="str">
        <v>USD</v>
      </c>
      <c r="J22">
        <v>1850.96</v>
      </c>
      <c r="M22" t="str">
        <v>Li Gonzalez</v>
      </c>
      <c r="N22" t="str">
        <v>Hong Kong</v>
      </c>
      <c r="O22" t="str">
        <v>China</v>
      </c>
      <c r="P22" t="str">
        <v>Payment</v>
      </c>
      <c r="Q22" t="str">
        <v>Healthcare</v>
      </c>
      <c r="R22" t="str">
        <v>USD</v>
      </c>
      <c r="S22">
        <v>1671.25</v>
      </c>
    </row>
    <row r="23" spans="4:19" x14ac:dyDescent="0.3">
      <c r="D23" t="str">
        <v>Pierre Gonzalez</v>
      </c>
      <c r="E23" t="str">
        <v>Hong Kong</v>
      </c>
      <c r="F23" t="str">
        <v>China</v>
      </c>
      <c r="G23" t="str">
        <v>Investment</v>
      </c>
      <c r="H23" t="str">
        <v>Investment</v>
      </c>
      <c r="I23" t="str">
        <v>USD</v>
      </c>
      <c r="J23">
        <v>34866.89</v>
      </c>
      <c r="M23" t="str">
        <v>Susan Sharma</v>
      </c>
      <c r="N23" t="str">
        <v>Hong Kong</v>
      </c>
      <c r="O23" t="str">
        <v>China</v>
      </c>
      <c r="P23" t="str">
        <v>Loan</v>
      </c>
      <c r="Q23" t="str">
        <v>Other</v>
      </c>
      <c r="R23" t="str">
        <v>USD</v>
      </c>
      <c r="S23">
        <v>65726.240000000005</v>
      </c>
    </row>
    <row r="24" spans="4:19" x14ac:dyDescent="0.3">
      <c r="D24" t="str">
        <v>Priya Suzuki</v>
      </c>
      <c r="E24" t="str">
        <v>Hong Kong</v>
      </c>
      <c r="F24" t="str">
        <v>China</v>
      </c>
      <c r="G24" t="str">
        <v>Withdrawal</v>
      </c>
      <c r="H24" t="str">
        <v>Transport</v>
      </c>
      <c r="I24" t="str">
        <v>EUR</v>
      </c>
      <c r="J24">
        <v>374.55</v>
      </c>
      <c r="M24" t="str">
        <v>Linda Cohen</v>
      </c>
      <c r="N24" t="str">
        <v>Hong Kong</v>
      </c>
      <c r="O24" t="str">
        <v>China</v>
      </c>
      <c r="P24" t="str">
        <v>Fee</v>
      </c>
      <c r="Q24" t="str">
        <v>Other</v>
      </c>
      <c r="R24" t="str">
        <v>USD</v>
      </c>
      <c r="S24">
        <v>15.73</v>
      </c>
    </row>
    <row r="25" spans="4:19" x14ac:dyDescent="0.3">
      <c r="D25" t="str">
        <v>Pierre Levi</v>
      </c>
      <c r="E25" t="str">
        <v>Hong Kong</v>
      </c>
      <c r="F25" t="str">
        <v>China</v>
      </c>
      <c r="G25" t="str">
        <v>Transfer</v>
      </c>
      <c r="H25" t="str">
        <v>Other</v>
      </c>
      <c r="I25" t="str">
        <v>EUR</v>
      </c>
      <c r="J25">
        <v>1931.85</v>
      </c>
      <c r="M25" t="str">
        <v>Luis Tran</v>
      </c>
      <c r="N25" t="str">
        <v>Hong Kong</v>
      </c>
      <c r="O25" t="str">
        <v>China</v>
      </c>
      <c r="P25" t="str">
        <v>Withdrawal</v>
      </c>
      <c r="Q25" t="str">
        <v>Groceries</v>
      </c>
      <c r="R25" t="str">
        <v>USD</v>
      </c>
      <c r="S25">
        <v>1315.39</v>
      </c>
    </row>
    <row r="26" spans="4:19" x14ac:dyDescent="0.3">
      <c r="D26" t="str">
        <v>Pierre Tanaka</v>
      </c>
      <c r="E26" t="str">
        <v>Hong Kong</v>
      </c>
      <c r="F26" t="str">
        <v>China</v>
      </c>
      <c r="G26" t="str">
        <v>Withdrawal</v>
      </c>
      <c r="H26" t="str">
        <v>Shopping</v>
      </c>
      <c r="I26" t="str">
        <v>JPY</v>
      </c>
      <c r="J26">
        <v>497.98</v>
      </c>
      <c r="M26" t="str">
        <v>John White</v>
      </c>
      <c r="N26" t="str">
        <v>Hong Kong</v>
      </c>
      <c r="O26" t="str">
        <v>China</v>
      </c>
      <c r="P26" t="str">
        <v>Deposit</v>
      </c>
      <c r="Q26" t="str">
        <v>Investment</v>
      </c>
      <c r="R26" t="str">
        <v>USD</v>
      </c>
      <c r="S26">
        <v>6845.42</v>
      </c>
    </row>
    <row r="27" spans="4:19" x14ac:dyDescent="0.3">
      <c r="D27" t="str">
        <v>John Sato</v>
      </c>
      <c r="E27" t="str">
        <v>Hong Kong</v>
      </c>
      <c r="F27" t="str">
        <v>China</v>
      </c>
      <c r="G27" t="str">
        <v>Deposit</v>
      </c>
      <c r="H27" t="str">
        <v>Salary</v>
      </c>
      <c r="I27" t="str">
        <v>USD</v>
      </c>
      <c r="J27">
        <v>7750.52</v>
      </c>
      <c r="M27" t="str">
        <v>John Sato</v>
      </c>
      <c r="N27" t="str">
        <v>Hong Kong</v>
      </c>
      <c r="O27" t="str">
        <v>China</v>
      </c>
      <c r="P27" t="str">
        <v>Investment</v>
      </c>
      <c r="Q27" t="str">
        <v>Investment</v>
      </c>
      <c r="R27" t="str">
        <v>USD</v>
      </c>
      <c r="S27">
        <v>31108.14</v>
      </c>
    </row>
    <row r="28" spans="4:19" x14ac:dyDescent="0.3">
      <c r="D28" t="str">
        <v>Susan Sharma</v>
      </c>
      <c r="E28" t="str">
        <v>Hong Kong</v>
      </c>
      <c r="F28" t="str">
        <v>China</v>
      </c>
      <c r="G28" t="str">
        <v>Loan</v>
      </c>
      <c r="H28" t="str">
        <v>Other</v>
      </c>
      <c r="I28" t="str">
        <v>USD</v>
      </c>
      <c r="J28">
        <v>8022.55</v>
      </c>
      <c r="M28" t="str">
        <v>Li Gonzalez</v>
      </c>
      <c r="N28" t="str">
        <v>Hong Kong</v>
      </c>
      <c r="O28" t="str">
        <v>China</v>
      </c>
      <c r="P28" t="str">
        <v>Payment</v>
      </c>
      <c r="Q28" t="str">
        <v>Insurance</v>
      </c>
      <c r="R28" t="str">
        <v>USD</v>
      </c>
      <c r="S28">
        <v>132.31</v>
      </c>
    </row>
    <row r="29" spans="4:19" x14ac:dyDescent="0.3">
      <c r="D29" t="str">
        <v>John White</v>
      </c>
      <c r="E29" t="str">
        <v>Hong Kong</v>
      </c>
      <c r="F29" t="str">
        <v>China</v>
      </c>
      <c r="G29" t="str">
        <v>Payment</v>
      </c>
      <c r="H29" t="str">
        <v>Utilities</v>
      </c>
      <c r="I29" t="str">
        <v>USD</v>
      </c>
      <c r="J29">
        <v>1874.99</v>
      </c>
      <c r="M29" t="str">
        <v>Hans Tran</v>
      </c>
      <c r="N29" t="str">
        <v>Hong Kong</v>
      </c>
      <c r="O29" t="str">
        <v>China</v>
      </c>
      <c r="P29" t="str">
        <v>Deposit</v>
      </c>
      <c r="Q29" t="str">
        <v>Investment</v>
      </c>
      <c r="R29" t="str">
        <v>USD</v>
      </c>
      <c r="S29">
        <v>11585</v>
      </c>
    </row>
    <row r="30" spans="4:19" x14ac:dyDescent="0.3">
      <c r="D30" t="str">
        <v>Susan Chen</v>
      </c>
      <c r="E30" t="str">
        <v>Hong Kong</v>
      </c>
      <c r="F30" t="str">
        <v>China</v>
      </c>
      <c r="G30" t="str">
        <v>Deposit</v>
      </c>
      <c r="H30" t="str">
        <v>Salary</v>
      </c>
      <c r="I30" t="str">
        <v>USD</v>
      </c>
      <c r="J30">
        <v>11320.15</v>
      </c>
      <c r="M30" t="str">
        <v>Hans Tran</v>
      </c>
      <c r="N30" t="str">
        <v>Hong Kong</v>
      </c>
      <c r="O30" t="str">
        <v>China</v>
      </c>
      <c r="P30" t="str">
        <v>Refund</v>
      </c>
      <c r="Q30" t="str">
        <v>Dining</v>
      </c>
      <c r="R30" t="str">
        <v>USD</v>
      </c>
      <c r="S30">
        <v>492.29</v>
      </c>
    </row>
    <row r="31" spans="4:19" x14ac:dyDescent="0.3">
      <c r="D31" t="str">
        <v>Aisha Ahmed</v>
      </c>
      <c r="E31" t="str">
        <v>Hong Kong</v>
      </c>
      <c r="F31" t="str">
        <v>China</v>
      </c>
      <c r="G31" t="str">
        <v>Investment</v>
      </c>
      <c r="H31" t="str">
        <v>Investment</v>
      </c>
      <c r="I31" t="str">
        <v>CNY</v>
      </c>
      <c r="J31">
        <v>7142.77</v>
      </c>
      <c r="M31" t="str">
        <v>Aisha Ahmed</v>
      </c>
      <c r="N31" t="str">
        <v>Hong Kong</v>
      </c>
      <c r="O31" t="str">
        <v>China</v>
      </c>
      <c r="P31" t="str">
        <v>Payment</v>
      </c>
      <c r="Q31" t="str">
        <v>Rent</v>
      </c>
      <c r="R31" t="str">
        <v>USD</v>
      </c>
      <c r="S31">
        <v>2351.92</v>
      </c>
    </row>
    <row r="32" spans="4:19" x14ac:dyDescent="0.3">
      <c r="D32" t="str">
        <v>Linda Cohen</v>
      </c>
      <c r="E32" t="str">
        <v>Hong Kong</v>
      </c>
      <c r="F32" t="str">
        <v>China</v>
      </c>
      <c r="G32" t="str">
        <v>Withdrawal</v>
      </c>
      <c r="H32" t="str">
        <v>Shopping</v>
      </c>
      <c r="I32" t="str">
        <v>USD</v>
      </c>
      <c r="J32">
        <v>1434.73</v>
      </c>
      <c r="M32" t="str">
        <v>Li Martin</v>
      </c>
      <c r="N32" t="str">
        <v>Hong Kong</v>
      </c>
      <c r="O32" t="str">
        <v>China</v>
      </c>
      <c r="P32" t="str">
        <v>Withdrawal</v>
      </c>
      <c r="Q32" t="str">
        <v>Entertainment</v>
      </c>
      <c r="R32" t="str">
        <v>USD</v>
      </c>
      <c r="S32">
        <v>1090.8</v>
      </c>
    </row>
    <row r="33" spans="4:19" x14ac:dyDescent="0.3">
      <c r="D33" t="str">
        <v>Susan Sharma</v>
      </c>
      <c r="E33" t="str">
        <v>Hong Kong</v>
      </c>
      <c r="F33" t="str">
        <v>China</v>
      </c>
      <c r="G33" t="str">
        <v>Payment</v>
      </c>
      <c r="H33" t="str">
        <v>Other</v>
      </c>
      <c r="I33" t="str">
        <v>CNY</v>
      </c>
      <c r="J33">
        <v>1271.03</v>
      </c>
      <c r="M33" t="str">
        <v>Aisha Kumar</v>
      </c>
      <c r="N33" t="str">
        <v>Hong Kong</v>
      </c>
      <c r="O33" t="str">
        <v>China</v>
      </c>
      <c r="P33" t="str">
        <v>Deposit</v>
      </c>
      <c r="Q33" t="str">
        <v>Other</v>
      </c>
      <c r="R33" t="str">
        <v>USD</v>
      </c>
      <c r="S33">
        <v>6309.9</v>
      </c>
    </row>
    <row r="34" spans="4:19" x14ac:dyDescent="0.3">
      <c r="D34" t="str">
        <v>Ivan Wang</v>
      </c>
      <c r="E34" t="str">
        <v>Hong Kong</v>
      </c>
      <c r="F34" t="str">
        <v>China</v>
      </c>
      <c r="G34" t="str">
        <v>Deposit</v>
      </c>
      <c r="H34" t="str">
        <v>Investment</v>
      </c>
      <c r="I34" t="str">
        <v>USD</v>
      </c>
      <c r="J34">
        <v>9350.98</v>
      </c>
      <c r="M34" t="str">
        <v>Linda Cohen</v>
      </c>
      <c r="N34" t="str">
        <v>Hong Kong</v>
      </c>
      <c r="O34" t="str">
        <v>China</v>
      </c>
      <c r="P34" t="str">
        <v>Deposit</v>
      </c>
      <c r="Q34" t="str">
        <v>Salary</v>
      </c>
      <c r="R34" t="str">
        <v>USD</v>
      </c>
      <c r="S34">
        <v>2071.39</v>
      </c>
    </row>
    <row r="35" spans="4:19" x14ac:dyDescent="0.3">
      <c r="D35" t="str">
        <v>Mary Harris</v>
      </c>
      <c r="E35" t="str">
        <v>Hong Kong</v>
      </c>
      <c r="F35" t="str">
        <v>China</v>
      </c>
      <c r="G35" t="str">
        <v>Withdrawal</v>
      </c>
      <c r="H35" t="str">
        <v>Other</v>
      </c>
      <c r="I35" t="str">
        <v>EUR</v>
      </c>
      <c r="J35">
        <v>1171.3399999999999</v>
      </c>
      <c r="M35" t="str">
        <v>John Sato</v>
      </c>
      <c r="N35" t="str">
        <v>Hong Kong</v>
      </c>
      <c r="O35" t="str">
        <v>China</v>
      </c>
      <c r="P35" t="str">
        <v>Withdrawal</v>
      </c>
      <c r="Q35" t="str">
        <v>Transport</v>
      </c>
      <c r="R35" t="str">
        <v>USD</v>
      </c>
      <c r="S35">
        <v>1064.96</v>
      </c>
    </row>
    <row r="36" spans="4:19" x14ac:dyDescent="0.3">
      <c r="D36" t="str">
        <v>Li Gonzalez</v>
      </c>
      <c r="E36" t="str">
        <v>Hong Kong</v>
      </c>
      <c r="F36" t="str">
        <v>China</v>
      </c>
      <c r="G36" t="str">
        <v>Payment</v>
      </c>
      <c r="H36" t="str">
        <v>Healthcare</v>
      </c>
      <c r="I36" t="str">
        <v>USD</v>
      </c>
      <c r="J36">
        <v>1671.25</v>
      </c>
      <c r="M36" t="str">
        <v>Mary Harris</v>
      </c>
      <c r="N36" t="str">
        <v>Hong Kong</v>
      </c>
      <c r="O36" t="str">
        <v>China</v>
      </c>
      <c r="P36" t="str">
        <v>Investment</v>
      </c>
      <c r="Q36" t="str">
        <v>Investment</v>
      </c>
      <c r="R36" t="str">
        <v>USD</v>
      </c>
      <c r="S36">
        <v>42588.92</v>
      </c>
    </row>
    <row r="37" spans="4:19" x14ac:dyDescent="0.3">
      <c r="D37" t="str">
        <v>Susan Sharma</v>
      </c>
      <c r="E37" t="str">
        <v>Hong Kong</v>
      </c>
      <c r="F37" t="str">
        <v>China</v>
      </c>
      <c r="G37" t="str">
        <v>Loan</v>
      </c>
      <c r="H37" t="str">
        <v>Other</v>
      </c>
      <c r="I37" t="str">
        <v>USD</v>
      </c>
      <c r="J37">
        <v>65726.240000000005</v>
      </c>
      <c r="M37" t="str">
        <v>Aisha Ahmed</v>
      </c>
      <c r="N37" t="str">
        <v>Hong Kong</v>
      </c>
      <c r="O37" t="str">
        <v>China</v>
      </c>
      <c r="P37" t="str">
        <v>Transfer</v>
      </c>
      <c r="Q37" t="str">
        <v>Other</v>
      </c>
      <c r="R37" t="str">
        <v>USD</v>
      </c>
      <c r="S37">
        <v>7468.2</v>
      </c>
    </row>
    <row r="38" spans="4:19" x14ac:dyDescent="0.3">
      <c r="D38" t="str">
        <v>Joseph Thompson</v>
      </c>
      <c r="E38" t="str">
        <v>Hong Kong</v>
      </c>
      <c r="F38" t="str">
        <v>China</v>
      </c>
      <c r="G38" t="str">
        <v>Fee</v>
      </c>
      <c r="H38" t="str">
        <v>Other</v>
      </c>
      <c r="I38" t="str">
        <v>JPY</v>
      </c>
      <c r="J38">
        <v>9.24</v>
      </c>
      <c r="M38" t="str">
        <v>Carlos Levi</v>
      </c>
      <c r="N38" t="str">
        <v>Hong Kong</v>
      </c>
      <c r="O38" t="str">
        <v>China</v>
      </c>
      <c r="P38" t="str">
        <v>Loan</v>
      </c>
      <c r="Q38" t="str">
        <v>Other</v>
      </c>
      <c r="R38" t="str">
        <v>USD</v>
      </c>
      <c r="S38">
        <v>42033.39</v>
      </c>
    </row>
    <row r="39" spans="4:19" x14ac:dyDescent="0.3">
      <c r="D39" t="str">
        <v>Linda Cohen</v>
      </c>
      <c r="E39" t="str">
        <v>Hong Kong</v>
      </c>
      <c r="F39" t="str">
        <v>China</v>
      </c>
      <c r="G39" t="str">
        <v>Fee</v>
      </c>
      <c r="H39" t="str">
        <v>Other</v>
      </c>
      <c r="I39" t="str">
        <v>USD</v>
      </c>
      <c r="J39">
        <v>15.73</v>
      </c>
      <c r="M39" t="str">
        <v>Li Martin</v>
      </c>
      <c r="N39" t="str">
        <v>Hong Kong</v>
      </c>
      <c r="O39" t="str">
        <v>China</v>
      </c>
      <c r="P39" t="str">
        <v>Payment</v>
      </c>
      <c r="Q39" t="str">
        <v>Healthcare</v>
      </c>
      <c r="R39" t="str">
        <v>USD</v>
      </c>
      <c r="S39">
        <v>355.26</v>
      </c>
    </row>
    <row r="40" spans="4:19" x14ac:dyDescent="0.3">
      <c r="D40" t="str">
        <v>Luis Tran</v>
      </c>
      <c r="E40" t="str">
        <v>Hong Kong</v>
      </c>
      <c r="F40" t="str">
        <v>China</v>
      </c>
      <c r="G40" t="str">
        <v>Withdrawal</v>
      </c>
      <c r="H40" t="str">
        <v>Groceries</v>
      </c>
      <c r="I40" t="str">
        <v>USD</v>
      </c>
      <c r="J40">
        <v>1315.39</v>
      </c>
      <c r="M40" t="str">
        <v>Priya Rossi</v>
      </c>
      <c r="N40" t="str">
        <v>Hong Kong</v>
      </c>
      <c r="O40" t="str">
        <v>China</v>
      </c>
      <c r="P40" t="str">
        <v>Withdrawal</v>
      </c>
      <c r="Q40" t="str">
        <v>Groceries</v>
      </c>
      <c r="R40" t="str">
        <v>USD</v>
      </c>
      <c r="S40">
        <v>676.85</v>
      </c>
    </row>
    <row r="41" spans="4:19" x14ac:dyDescent="0.3">
      <c r="D41" t="str">
        <v>John White</v>
      </c>
      <c r="E41" t="str">
        <v>Hong Kong</v>
      </c>
      <c r="F41" t="str">
        <v>China</v>
      </c>
      <c r="G41" t="str">
        <v>Deposit</v>
      </c>
      <c r="H41" t="str">
        <v>Investment</v>
      </c>
      <c r="I41" t="str">
        <v>USD</v>
      </c>
      <c r="J41">
        <v>6845.42</v>
      </c>
      <c r="M41" t="str">
        <v>Pierre Tanaka</v>
      </c>
      <c r="N41" t="str">
        <v>Hong Kong</v>
      </c>
      <c r="O41" t="str">
        <v>China</v>
      </c>
      <c r="P41" t="str">
        <v>Refund</v>
      </c>
      <c r="Q41" t="str">
        <v>Other</v>
      </c>
      <c r="R41" t="str">
        <v>USD</v>
      </c>
      <c r="S41">
        <v>440.47</v>
      </c>
    </row>
    <row r="42" spans="4:19" x14ac:dyDescent="0.3">
      <c r="D42" t="str">
        <v>Anil Khan</v>
      </c>
      <c r="E42" t="str">
        <v>Hong Kong</v>
      </c>
      <c r="F42" t="str">
        <v>China</v>
      </c>
      <c r="G42" t="str">
        <v>Payment</v>
      </c>
      <c r="H42" t="str">
        <v>Other</v>
      </c>
      <c r="I42" t="str">
        <v>EUR</v>
      </c>
      <c r="J42">
        <v>4258.3</v>
      </c>
    </row>
    <row r="43" spans="4:19" x14ac:dyDescent="0.3">
      <c r="D43" t="str">
        <v>Hans Tran</v>
      </c>
      <c r="E43" t="str">
        <v>Hong Kong</v>
      </c>
      <c r="F43" t="str">
        <v>China</v>
      </c>
      <c r="G43" t="str">
        <v>Withdrawal</v>
      </c>
      <c r="H43" t="str">
        <v>Other</v>
      </c>
      <c r="I43" t="str">
        <v>JPY</v>
      </c>
      <c r="J43">
        <v>813.97</v>
      </c>
    </row>
    <row r="44" spans="4:19" x14ac:dyDescent="0.3">
      <c r="D44" t="str">
        <v>John Sato</v>
      </c>
      <c r="E44" t="str">
        <v>Hong Kong</v>
      </c>
      <c r="F44" t="str">
        <v>China</v>
      </c>
      <c r="G44" t="str">
        <v>Investment</v>
      </c>
      <c r="H44" t="str">
        <v>Investment</v>
      </c>
      <c r="I44" t="str">
        <v>USD</v>
      </c>
      <c r="J44">
        <v>31108.14</v>
      </c>
    </row>
    <row r="45" spans="4:19" x14ac:dyDescent="0.3">
      <c r="D45" t="str">
        <v>Pierre Gonzalez</v>
      </c>
      <c r="E45" t="str">
        <v>Hong Kong</v>
      </c>
      <c r="F45" t="str">
        <v>China</v>
      </c>
      <c r="G45" t="str">
        <v>Withdrawal</v>
      </c>
      <c r="H45" t="str">
        <v>Dining</v>
      </c>
      <c r="I45" t="str">
        <v>JPY</v>
      </c>
      <c r="J45">
        <v>118.71</v>
      </c>
    </row>
    <row r="46" spans="4:19" x14ac:dyDescent="0.3">
      <c r="D46" t="str">
        <v>Li Gonzalez</v>
      </c>
      <c r="E46" t="str">
        <v>Hong Kong</v>
      </c>
      <c r="F46" t="str">
        <v>China</v>
      </c>
      <c r="G46" t="str">
        <v>Payment</v>
      </c>
      <c r="H46" t="str">
        <v>Insurance</v>
      </c>
      <c r="I46" t="str">
        <v>USD</v>
      </c>
      <c r="J46">
        <v>132.31</v>
      </c>
    </row>
    <row r="47" spans="4:19" x14ac:dyDescent="0.3">
      <c r="D47" t="str">
        <v>Mohammed Martinez</v>
      </c>
      <c r="E47" t="str">
        <v>Hong Kong</v>
      </c>
      <c r="F47" t="str">
        <v>China</v>
      </c>
      <c r="G47" t="str">
        <v>Withdrawal</v>
      </c>
      <c r="H47" t="str">
        <v>Dining</v>
      </c>
      <c r="I47" t="str">
        <v>EUR</v>
      </c>
      <c r="J47">
        <v>1130.6400000000001</v>
      </c>
    </row>
    <row r="48" spans="4:19" x14ac:dyDescent="0.3">
      <c r="D48" t="str">
        <v>Hans Tran</v>
      </c>
      <c r="E48" t="str">
        <v>Hong Kong</v>
      </c>
      <c r="F48" t="str">
        <v>China</v>
      </c>
      <c r="G48" t="str">
        <v>Payment</v>
      </c>
      <c r="H48" t="str">
        <v>Shopping</v>
      </c>
      <c r="I48" t="str">
        <v>JPY</v>
      </c>
      <c r="J48">
        <v>4991.18</v>
      </c>
    </row>
    <row r="49" spans="4:10" x14ac:dyDescent="0.3">
      <c r="D49" t="str">
        <v>Hans Tran</v>
      </c>
      <c r="E49" t="str">
        <v>Hong Kong</v>
      </c>
      <c r="F49" t="str">
        <v>China</v>
      </c>
      <c r="G49" t="str">
        <v>Deposit</v>
      </c>
      <c r="H49" t="str">
        <v>Investment</v>
      </c>
      <c r="I49" t="str">
        <v>USD</v>
      </c>
      <c r="J49">
        <v>11585</v>
      </c>
    </row>
    <row r="50" spans="4:10" x14ac:dyDescent="0.3">
      <c r="D50" t="str">
        <v>Hans Tran</v>
      </c>
      <c r="E50" t="str">
        <v>Hong Kong</v>
      </c>
      <c r="F50" t="str">
        <v>China</v>
      </c>
      <c r="G50" t="str">
        <v>Refund</v>
      </c>
      <c r="H50" t="str">
        <v>Dining</v>
      </c>
      <c r="I50" t="str">
        <v>USD</v>
      </c>
      <c r="J50">
        <v>492.29</v>
      </c>
    </row>
    <row r="51" spans="4:10" x14ac:dyDescent="0.3">
      <c r="D51" t="str">
        <v>Aisha Ahmed</v>
      </c>
      <c r="E51" t="str">
        <v>Hong Kong</v>
      </c>
      <c r="F51" t="str">
        <v>China</v>
      </c>
      <c r="G51" t="str">
        <v>Payment</v>
      </c>
      <c r="H51" t="str">
        <v>Rent</v>
      </c>
      <c r="I51" t="str">
        <v>USD</v>
      </c>
      <c r="J51">
        <v>2351.92</v>
      </c>
    </row>
    <row r="52" spans="4:10" x14ac:dyDescent="0.3">
      <c r="D52" t="str">
        <v>Li Martin</v>
      </c>
      <c r="E52" t="str">
        <v>Hong Kong</v>
      </c>
      <c r="F52" t="str">
        <v>China</v>
      </c>
      <c r="G52" t="str">
        <v>Withdrawal</v>
      </c>
      <c r="H52" t="str">
        <v>Entertainment</v>
      </c>
      <c r="I52" t="str">
        <v>USD</v>
      </c>
      <c r="J52">
        <v>1090.8</v>
      </c>
    </row>
    <row r="53" spans="4:10" x14ac:dyDescent="0.3">
      <c r="D53" t="str">
        <v>Aisha Kumar</v>
      </c>
      <c r="E53" t="str">
        <v>Hong Kong</v>
      </c>
      <c r="F53" t="str">
        <v>China</v>
      </c>
      <c r="G53" t="str">
        <v>Deposit</v>
      </c>
      <c r="H53" t="str">
        <v>Other</v>
      </c>
      <c r="I53" t="str">
        <v>USD</v>
      </c>
      <c r="J53">
        <v>6309.9</v>
      </c>
    </row>
    <row r="54" spans="4:10" x14ac:dyDescent="0.3">
      <c r="D54" t="str">
        <v>Linda Cohen</v>
      </c>
      <c r="E54" t="str">
        <v>Hong Kong</v>
      </c>
      <c r="F54" t="str">
        <v>China</v>
      </c>
      <c r="G54" t="str">
        <v>Deposit</v>
      </c>
      <c r="H54" t="str">
        <v>Salary</v>
      </c>
      <c r="I54" t="str">
        <v>USD</v>
      </c>
      <c r="J54">
        <v>2071.39</v>
      </c>
    </row>
    <row r="55" spans="4:10" x14ac:dyDescent="0.3">
      <c r="D55" t="str">
        <v>John Sato</v>
      </c>
      <c r="E55" t="str">
        <v>Hong Kong</v>
      </c>
      <c r="F55" t="str">
        <v>China</v>
      </c>
      <c r="G55" t="str">
        <v>Withdrawal</v>
      </c>
      <c r="H55" t="str">
        <v>Transport</v>
      </c>
      <c r="I55" t="str">
        <v>USD</v>
      </c>
      <c r="J55">
        <v>1064.96</v>
      </c>
    </row>
    <row r="56" spans="4:10" x14ac:dyDescent="0.3">
      <c r="D56" t="str">
        <v>Mary Harris</v>
      </c>
      <c r="E56" t="str">
        <v>Hong Kong</v>
      </c>
      <c r="F56" t="str">
        <v>China</v>
      </c>
      <c r="G56" t="str">
        <v>Investment</v>
      </c>
      <c r="H56" t="str">
        <v>Investment</v>
      </c>
      <c r="I56" t="str">
        <v>USD</v>
      </c>
      <c r="J56">
        <v>42588.92</v>
      </c>
    </row>
    <row r="57" spans="4:10" x14ac:dyDescent="0.3">
      <c r="D57" t="str">
        <v>Pierre Levi</v>
      </c>
      <c r="E57" t="str">
        <v>Hong Kong</v>
      </c>
      <c r="F57" t="str">
        <v>China</v>
      </c>
      <c r="G57" t="str">
        <v>Withdrawal</v>
      </c>
      <c r="H57" t="str">
        <v>Entertainment</v>
      </c>
      <c r="I57" t="str">
        <v>GBP</v>
      </c>
      <c r="J57">
        <v>1962.04</v>
      </c>
    </row>
    <row r="58" spans="4:10" x14ac:dyDescent="0.3">
      <c r="D58" t="str">
        <v>Aisha Ahmed</v>
      </c>
      <c r="E58" t="str">
        <v>Hong Kong</v>
      </c>
      <c r="F58" t="str">
        <v>China</v>
      </c>
      <c r="G58" t="str">
        <v>Transfer</v>
      </c>
      <c r="H58" t="str">
        <v>Other</v>
      </c>
      <c r="I58" t="str">
        <v>USD</v>
      </c>
      <c r="J58">
        <v>7468.2</v>
      </c>
    </row>
    <row r="59" spans="4:10" x14ac:dyDescent="0.3">
      <c r="D59" t="str">
        <v>John White</v>
      </c>
      <c r="E59" t="str">
        <v>Hong Kong</v>
      </c>
      <c r="F59" t="str">
        <v>China</v>
      </c>
      <c r="G59" t="str">
        <v>Deposit</v>
      </c>
      <c r="H59" t="str">
        <v>Salary</v>
      </c>
      <c r="I59" t="str">
        <v>EUR</v>
      </c>
      <c r="J59">
        <v>2539.85</v>
      </c>
    </row>
    <row r="60" spans="4:10" x14ac:dyDescent="0.3">
      <c r="D60" t="str">
        <v>Carlos Levi</v>
      </c>
      <c r="E60" t="str">
        <v>Hong Kong</v>
      </c>
      <c r="F60" t="str">
        <v>China</v>
      </c>
      <c r="G60" t="str">
        <v>Loan</v>
      </c>
      <c r="H60" t="str">
        <v>Other</v>
      </c>
      <c r="I60" t="str">
        <v>USD</v>
      </c>
      <c r="J60">
        <v>42033.39</v>
      </c>
    </row>
    <row r="61" spans="4:10" x14ac:dyDescent="0.3">
      <c r="D61" t="str">
        <v>Pierre Gonzalez</v>
      </c>
      <c r="E61" t="str">
        <v>Hong Kong</v>
      </c>
      <c r="F61" t="str">
        <v>China</v>
      </c>
      <c r="G61" t="str">
        <v>Deposit</v>
      </c>
      <c r="H61" t="str">
        <v>Salary</v>
      </c>
      <c r="I61" t="str">
        <v>CNY</v>
      </c>
      <c r="J61">
        <v>7866.5</v>
      </c>
    </row>
    <row r="62" spans="4:10" x14ac:dyDescent="0.3">
      <c r="D62" t="str">
        <v>Aisha Kumar</v>
      </c>
      <c r="E62" t="str">
        <v>Hong Kong</v>
      </c>
      <c r="F62" t="str">
        <v>China</v>
      </c>
      <c r="G62" t="str">
        <v>Transfer</v>
      </c>
      <c r="H62" t="str">
        <v>Other</v>
      </c>
      <c r="I62" t="str">
        <v>GBP</v>
      </c>
      <c r="J62">
        <v>2613.91</v>
      </c>
    </row>
    <row r="63" spans="4:10" x14ac:dyDescent="0.3">
      <c r="D63" t="str">
        <v>Li Martin</v>
      </c>
      <c r="E63" t="str">
        <v>Hong Kong</v>
      </c>
      <c r="F63" t="str">
        <v>China</v>
      </c>
      <c r="G63" t="str">
        <v>Payment</v>
      </c>
      <c r="H63" t="str">
        <v>Healthcare</v>
      </c>
      <c r="I63" t="str">
        <v>USD</v>
      </c>
      <c r="J63">
        <v>355.26</v>
      </c>
    </row>
    <row r="64" spans="4:10" x14ac:dyDescent="0.3">
      <c r="D64" t="str">
        <v>Priya Rossi</v>
      </c>
      <c r="E64" t="str">
        <v>Hong Kong</v>
      </c>
      <c r="F64" t="str">
        <v>China</v>
      </c>
      <c r="G64" t="str">
        <v>Withdrawal</v>
      </c>
      <c r="H64" t="str">
        <v>Groceries</v>
      </c>
      <c r="I64" t="str">
        <v>USD</v>
      </c>
      <c r="J64">
        <v>676.85</v>
      </c>
    </row>
    <row r="65" spans="4:10" x14ac:dyDescent="0.3">
      <c r="D65" t="str">
        <v>Pierre Levi</v>
      </c>
      <c r="E65" t="str">
        <v>Hong Kong</v>
      </c>
      <c r="F65" t="str">
        <v>China</v>
      </c>
      <c r="G65" t="str">
        <v>Transfer</v>
      </c>
      <c r="H65" t="str">
        <v>Other</v>
      </c>
      <c r="I65" t="str">
        <v>EUR</v>
      </c>
      <c r="J65">
        <v>2380.6799999999998</v>
      </c>
    </row>
    <row r="66" spans="4:10" x14ac:dyDescent="0.3">
      <c r="D66" t="str">
        <v>Pierre Tanaka</v>
      </c>
      <c r="E66" t="str">
        <v>Hong Kong</v>
      </c>
      <c r="F66" t="str">
        <v>China</v>
      </c>
      <c r="G66" t="str">
        <v>Refund</v>
      </c>
      <c r="H66" t="str">
        <v>Other</v>
      </c>
      <c r="I66" t="str">
        <v>USD</v>
      </c>
      <c r="J66">
        <v>440.47</v>
      </c>
    </row>
    <row r="67" spans="4:10" x14ac:dyDescent="0.3">
      <c r="D67" t="str">
        <v>Luis Tran</v>
      </c>
      <c r="E67" t="str">
        <v>Hong Kong</v>
      </c>
      <c r="F67" t="str">
        <v>China</v>
      </c>
      <c r="G67" t="str">
        <v>Deposit</v>
      </c>
      <c r="H67" t="str">
        <v>Salary</v>
      </c>
      <c r="I67" t="str">
        <v>GBP</v>
      </c>
      <c r="J67">
        <v>7874.84</v>
      </c>
    </row>
  </sheetData>
  <dataValidations count="1">
    <dataValidation type="list" allowBlank="1" showInputMessage="1" showErrorMessage="1" sqref="B13" xr:uid="{18FFDF43-3289-456B-8B8B-66C148882AB8}">
      <formula1>$A$2:$A$11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B3E3B2-E4D2-413B-8EEA-6BBD8418BEC7}">
          <x14:formula1>
            <xm:f>Data!$F$2:$F$438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Sheet4</vt:lpstr>
      <vt:lpstr>Sheet1</vt:lpstr>
      <vt:lpstr>city-1</vt:lpstr>
      <vt:lpstr>city-2</vt:lpstr>
      <vt:lpstr>city-3</vt:lpstr>
      <vt:lpstr>city-4</vt:lpstr>
      <vt:lpstr>Sheet7</vt:lpstr>
      <vt:lpstr>Sheet9</vt:lpstr>
      <vt:lpstr>Sheet10</vt:lpstr>
      <vt:lpstr>Sheet11</vt:lpstr>
      <vt:lpstr>Data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Aamit makode</dc:creator>
  <cp:lastModifiedBy>Aamit makode</cp:lastModifiedBy>
  <dcterms:created xsi:type="dcterms:W3CDTF">2026-05-16T04:10:26Z</dcterms:created>
  <dcterms:modified xsi:type="dcterms:W3CDTF">2026-05-16T05:21:02Z</dcterms:modified>
</cp:coreProperties>
</file>