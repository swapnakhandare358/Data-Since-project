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8_{99C80C74-FC50-4DC0-8527-CE9278DD79B4}" xr6:coauthVersionLast="47" xr6:coauthVersionMax="47" xr10:uidLastSave="{00000000-0000-0000-0000-000000000000}"/>
  <bookViews>
    <workbookView xWindow="-108" yWindow="-108" windowWidth="23256" windowHeight="12456" xr2:uid="{A2AED042-FF52-4F7E-8ACD-CCF68D9A809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Sheet2!$A$1:$I$35</definedName>
    <definedName name="_xlnm.Criteria" localSheetId="2">Sheet3!$B$2:$B$7</definedName>
    <definedName name="_xlnm.Extract" localSheetId="2">Sheet3!$E$10:$M$10</definedName>
  </definedName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1" i="5" l="1"/>
  <c r="G10" i="2"/>
  <c r="G12" i="2"/>
  <c r="G13" i="2"/>
  <c r="G14" i="2"/>
  <c r="G15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G20" i="1" a="1"/>
  <c r="G20" i="1" s="1"/>
  <c r="A45" i="2" a="1"/>
  <c r="A45" i="2" s="1"/>
  <c r="G2" i="2"/>
  <c r="G9" i="2"/>
  <c r="G8" i="2"/>
  <c r="G11" i="2"/>
  <c r="G3" i="2"/>
  <c r="G16" i="2"/>
  <c r="G7" i="2"/>
  <c r="G5" i="2"/>
  <c r="G6" i="2"/>
  <c r="G4" i="2"/>
  <c r="D38" i="1"/>
  <c r="D37" i="1"/>
  <c r="E43" i="1"/>
  <c r="C45" i="1"/>
  <c r="C44" i="1"/>
  <c r="C43" i="1"/>
  <c r="F33" i="1"/>
  <c r="D35" i="1"/>
  <c r="D34" i="1"/>
  <c r="D33" i="1"/>
  <c r="C21" i="1"/>
  <c r="C20" i="1" a="1"/>
  <c r="C20" i="1" s="1"/>
  <c r="C18" i="1"/>
  <c r="C19" i="1"/>
  <c r="C17" i="1"/>
  <c r="C16" i="1"/>
  <c r="C15" i="1"/>
  <c r="C14" i="1"/>
  <c r="C13" i="1"/>
  <c r="C12" i="1"/>
  <c r="C11" i="1"/>
  <c r="C10" i="1"/>
  <c r="H3" i="1"/>
  <c r="H4" i="1"/>
  <c r="H5" i="1"/>
  <c r="H6" i="1"/>
  <c r="H7" i="1"/>
  <c r="H8" i="1"/>
  <c r="H9" i="1"/>
  <c r="H10" i="1"/>
  <c r="H11" i="1"/>
  <c r="H12" i="1"/>
  <c r="H13" i="1"/>
  <c r="H2" i="1"/>
  <c r="E9" i="1"/>
  <c r="D9" i="1"/>
  <c r="C9" i="1"/>
  <c r="C8" i="1"/>
  <c r="C7" i="1"/>
  <c r="C6" i="1"/>
  <c r="C5" i="1"/>
  <c r="C4" i="1"/>
  <c r="C3" i="1"/>
  <c r="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<sst xmlns="http://schemas.openxmlformats.org/spreadsheetml/2006/main" count="726" uniqueCount="177">
  <si>
    <t>Withdrawal</t>
  </si>
  <si>
    <t>Fee</t>
  </si>
  <si>
    <t>Payment</t>
  </si>
  <si>
    <t>Deposit</t>
  </si>
  <si>
    <t>Transfer</t>
  </si>
  <si>
    <t>Loan</t>
  </si>
  <si>
    <t>Text function</t>
  </si>
  <si>
    <t>2022-08-01</t>
  </si>
  <si>
    <t>2022-07-14</t>
  </si>
  <si>
    <t>2024-01-23</t>
  </si>
  <si>
    <t>2023-06-17</t>
  </si>
  <si>
    <t>2025-09-25</t>
  </si>
  <si>
    <t>2024-05-29</t>
  </si>
  <si>
    <t>2022-05-22</t>
  </si>
  <si>
    <t>2024-11-29</t>
  </si>
  <si>
    <t>2025-12-30</t>
  </si>
  <si>
    <t>2024-10-17</t>
  </si>
  <si>
    <t>2024-08-11</t>
  </si>
  <si>
    <t>2025-07-14</t>
  </si>
  <si>
    <t>2024-02-19</t>
  </si>
  <si>
    <t>2023-09-18</t>
  </si>
  <si>
    <t>Date function</t>
  </si>
  <si>
    <t>left</t>
  </si>
  <si>
    <t>Right</t>
  </si>
  <si>
    <t>mid</t>
  </si>
  <si>
    <t>concate</t>
  </si>
  <si>
    <t>upper</t>
  </si>
  <si>
    <t>lower</t>
  </si>
  <si>
    <t>proper</t>
  </si>
  <si>
    <t>trim</t>
  </si>
  <si>
    <t>clean</t>
  </si>
  <si>
    <t>Len</t>
  </si>
  <si>
    <t>Find</t>
  </si>
  <si>
    <t>search</t>
  </si>
  <si>
    <t>reapet</t>
  </si>
  <si>
    <t>replace</t>
  </si>
  <si>
    <t>substitute</t>
  </si>
  <si>
    <t>textjoin</t>
  </si>
  <si>
    <t>textafter</t>
  </si>
  <si>
    <t>Day</t>
  </si>
  <si>
    <t>month</t>
  </si>
  <si>
    <t>year</t>
  </si>
  <si>
    <t>days</t>
  </si>
  <si>
    <t>Fee Offer</t>
  </si>
  <si>
    <t>DePosit moneY</t>
  </si>
  <si>
    <t xml:space="preserve">   Deposit   </t>
  </si>
  <si>
    <t>Fee offer</t>
  </si>
  <si>
    <t>textbefore</t>
  </si>
  <si>
    <t>textsplit</t>
  </si>
  <si>
    <t>Payment-method</t>
  </si>
  <si>
    <t>Transfer-money</t>
  </si>
  <si>
    <t>Payment,method</t>
  </si>
  <si>
    <t>Exact</t>
  </si>
  <si>
    <t>WithdrawaL</t>
  </si>
  <si>
    <t>Second</t>
  </si>
  <si>
    <t>Minute</t>
  </si>
  <si>
    <t>Hours</t>
  </si>
  <si>
    <t>Date</t>
  </si>
  <si>
    <t>Time</t>
  </si>
  <si>
    <t>networking day</t>
  </si>
  <si>
    <t>London</t>
  </si>
  <si>
    <t>UK</t>
  </si>
  <si>
    <t>Dining</t>
  </si>
  <si>
    <t>EUR</t>
  </si>
  <si>
    <t>Tokyo</t>
  </si>
  <si>
    <t>Japan</t>
  </si>
  <si>
    <t>Other</t>
  </si>
  <si>
    <t>USD</t>
  </si>
  <si>
    <t>Toronto</t>
  </si>
  <si>
    <t>Canada</t>
  </si>
  <si>
    <t>New York</t>
  </si>
  <si>
    <t>USA</t>
  </si>
  <si>
    <t>Entertainment</t>
  </si>
  <si>
    <t>Shopping</t>
  </si>
  <si>
    <t>Sydney</t>
  </si>
  <si>
    <t>Australia</t>
  </si>
  <si>
    <t>Education</t>
  </si>
  <si>
    <t>Singapore</t>
  </si>
  <si>
    <t>Salary</t>
  </si>
  <si>
    <t>CNY</t>
  </si>
  <si>
    <t>Frankfurt</t>
  </si>
  <si>
    <t>Germany</t>
  </si>
  <si>
    <t>Insurance</t>
  </si>
  <si>
    <t>Investment</t>
  </si>
  <si>
    <t>Dubai</t>
  </si>
  <si>
    <t>UAE</t>
  </si>
  <si>
    <t>Mumbai</t>
  </si>
  <si>
    <t>India</t>
  </si>
  <si>
    <t>Hong Kong</t>
  </si>
  <si>
    <t>China</t>
  </si>
  <si>
    <t>GBP</t>
  </si>
  <si>
    <t>Rent</t>
  </si>
  <si>
    <t>INR</t>
  </si>
  <si>
    <t>Branch</t>
  </si>
  <si>
    <t>Country</t>
  </si>
  <si>
    <t>TransactionType</t>
  </si>
  <si>
    <t>Category</t>
  </si>
  <si>
    <t>Currency</t>
  </si>
  <si>
    <t>Amount</t>
  </si>
  <si>
    <t>AmountUSD</t>
  </si>
  <si>
    <t>Balance</t>
  </si>
  <si>
    <t>TransactionDate</t>
  </si>
  <si>
    <t>CustomerName</t>
  </si>
  <si>
    <t>Aisha Singh</t>
  </si>
  <si>
    <t>David Mueller</t>
  </si>
  <si>
    <t>Mohammed Sato</t>
  </si>
  <si>
    <t>Richard Harris</t>
  </si>
  <si>
    <t>Susan Miller</t>
  </si>
  <si>
    <t>Kenji Sato</t>
  </si>
  <si>
    <t>Joseph Wilson</t>
  </si>
  <si>
    <t>Charles Park</t>
  </si>
  <si>
    <t>Wei White</t>
  </si>
  <si>
    <t>David Wilson</t>
  </si>
  <si>
    <t>Michael Lopez</t>
  </si>
  <si>
    <t>Deepa Mueller</t>
  </si>
  <si>
    <t>Li Brown</t>
  </si>
  <si>
    <t>Raj Liu</t>
  </si>
  <si>
    <t>Priya Thomas</t>
  </si>
  <si>
    <t>Anil Gonzalez</t>
  </si>
  <si>
    <t>Charles Rodriguez</t>
  </si>
  <si>
    <t>Kenji Sharma</t>
  </si>
  <si>
    <t>Michael Jones</t>
  </si>
  <si>
    <t>Aisha Ahmed</t>
  </si>
  <si>
    <t>Li Martin</t>
  </si>
  <si>
    <t>Aisha Kumar</t>
  </si>
  <si>
    <t>Yuki Liu</t>
  </si>
  <si>
    <t>Aisha Singh,London,UK</t>
  </si>
  <si>
    <t>David Mueller,Tokyo,Japan</t>
  </si>
  <si>
    <t>Mohammed Sato,Toronto,Canada</t>
  </si>
  <si>
    <t>Richard Harris,New York,USA</t>
  </si>
  <si>
    <t>Susan Miller,New York,USA</t>
  </si>
  <si>
    <t>Kenji Sato,Sydney,Australia</t>
  </si>
  <si>
    <t>Joseph Wilson,Singapore,Singapore</t>
  </si>
  <si>
    <t>Charles Park,New York,USA</t>
  </si>
  <si>
    <t>Wei White,Frankfurt,Germany</t>
  </si>
  <si>
    <t>David Wilson,Toronto,Canada</t>
  </si>
  <si>
    <t>Michael Lopez,Toronto,Canada</t>
  </si>
  <si>
    <t>Deepa Mueller,Singapore,Singapore</t>
  </si>
  <si>
    <t>Li Brown,Frankfurt,Germany</t>
  </si>
  <si>
    <t>Raj Liu,Sydney,Australia</t>
  </si>
  <si>
    <t>Priya Thomas,Frankfurt,Germany</t>
  </si>
  <si>
    <t>Anil Gonzalez,London,UK</t>
  </si>
  <si>
    <t>Charles Rodriguez,Dubai,UAE</t>
  </si>
  <si>
    <t>Kenji Sharma,Singapore,Singapore</t>
  </si>
  <si>
    <t>Michael Jones,Mumbai,India</t>
  </si>
  <si>
    <t>Aisha Ahmed,Hong Kong,China</t>
  </si>
  <si>
    <t>Li Martin,Hong Kong,China</t>
  </si>
  <si>
    <t>Aisha Kumar,Hong Kong,China</t>
  </si>
  <si>
    <t>Yuki Liu,Toronto,Canada</t>
  </si>
  <si>
    <t>A L UK</t>
  </si>
  <si>
    <t>D T Japan</t>
  </si>
  <si>
    <t>M T Canada</t>
  </si>
  <si>
    <t>R N USA</t>
  </si>
  <si>
    <t>S N USA</t>
  </si>
  <si>
    <t>K S Australia</t>
  </si>
  <si>
    <t>J S Singapore</t>
  </si>
  <si>
    <t>C N USA</t>
  </si>
  <si>
    <t>W F Germany</t>
  </si>
  <si>
    <t>D T Canada</t>
  </si>
  <si>
    <t>D S Singapore</t>
  </si>
  <si>
    <t>L F Germany</t>
  </si>
  <si>
    <t>R S Australia</t>
  </si>
  <si>
    <t>P F Germany</t>
  </si>
  <si>
    <t>C D UAE</t>
  </si>
  <si>
    <t>K S Singapore</t>
  </si>
  <si>
    <t>M M India</t>
  </si>
  <si>
    <t>A H China</t>
  </si>
  <si>
    <t>L H China</t>
  </si>
  <si>
    <t>Y T Canada</t>
  </si>
  <si>
    <t>col1</t>
  </si>
  <si>
    <t>col2</t>
  </si>
  <si>
    <t>Total</t>
  </si>
  <si>
    <t>singapore</t>
  </si>
  <si>
    <t>Newyork</t>
  </si>
  <si>
    <t>london</t>
  </si>
  <si>
    <t>London 1</t>
  </si>
  <si>
    <t>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</si>
</sst>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scheme val="minor"/>
    </font>
    <font>
      <sz val="11"/>
      <name val="Aptos Narrow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top"/>
    </xf>
    <xf numFmtId="0" fontId="1" fillId="0" borderId="0" xfId="0" applyFont="1"/>
    <xf numFmtId="0" fontId="0" fillId="0" borderId="0" xfId="0" applyAlignment="1">
      <alignment horizontal="left" vertical="top"/>
    </xf>
    <xf numFmtId="14" fontId="2" fillId="0" borderId="0" xfId="0" applyNumberFormat="1" applyFont="1" applyAlignment="1">
      <alignment vertical="top"/>
    </xf>
    <xf numFmtId="14" fontId="0" fillId="0" borderId="0" xfId="0" applyNumberFormat="1"/>
    <xf numFmtId="21" fontId="0" fillId="0" borderId="0" xfId="0" applyNumberFormat="1"/>
    <xf numFmtId="14" fontId="3" fillId="0" borderId="0" xfId="0" applyNumberFormat="1" applyFont="1" applyAlignment="1">
      <alignment vertical="top"/>
    </xf>
    <xf numFmtId="18" fontId="0" fillId="0" borderId="0" xfId="0" applyNumberFormat="1"/>
    <xf numFmtId="14" fontId="2" fillId="0" borderId="0" xfId="0" applyNumberFormat="1" applyFont="1" applyAlignment="1">
      <alignment horizontal="left" vertical="top"/>
    </xf>
    <xf numFmtId="4" fontId="3" fillId="0" borderId="0" xfId="0" applyNumberFormat="1" applyFont="1" applyAlignment="1">
      <alignment vertical="top"/>
    </xf>
    <xf numFmtId="0" fontId="4" fillId="2" borderId="0" xfId="0" applyFont="1" applyFill="1" applyAlignment="1">
      <alignment horizontal="center" vertical="center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  <xf numFmtId="14" fontId="4" fillId="2" borderId="0" xfId="0" applyNumberFormat="1" applyFont="1" applyFill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02F8-FCB7-488B-9208-356950D42C34}">
  <dimension ref="A1:H45"/>
  <sheetViews>
    <sheetView tabSelected="1" zoomScale="130" zoomScaleNormal="130" workbookViewId="0">
      <selection activeCell="E16" sqref="E16"/>
    </sheetView>
  </sheetViews>
  <sheetFormatPr defaultRowHeight="15.6" x14ac:dyDescent="0.3"/>
  <cols>
    <col min="1" max="1" width="14.8984375" bestFit="1" customWidth="1"/>
    <col min="2" max="2" width="11.796875" bestFit="1" customWidth="1"/>
    <col min="3" max="3" width="18" bestFit="1" customWidth="1"/>
    <col min="6" max="6" width="10.09765625" bestFit="1" customWidth="1"/>
    <col min="7" max="7" width="13.296875" bestFit="1" customWidth="1"/>
    <col min="8" max="8" width="12.296875" bestFit="1" customWidth="1"/>
  </cols>
  <sheetData>
    <row r="1" spans="1:8" x14ac:dyDescent="0.3">
      <c r="B1" s="2" t="s">
        <v>6</v>
      </c>
    </row>
    <row r="2" spans="1:8" x14ac:dyDescent="0.3">
      <c r="A2" s="1" t="s">
        <v>0</v>
      </c>
      <c r="B2" t="s">
        <v>22</v>
      </c>
      <c r="C2" t="str">
        <f>LEFT(A2,2)</f>
        <v>Wi</v>
      </c>
      <c r="G2" s="1" t="s">
        <v>0</v>
      </c>
      <c r="H2" t="str">
        <f>TRIM(UPPER(G2))</f>
        <v>WITHDRAWAL</v>
      </c>
    </row>
    <row r="3" spans="1:8" x14ac:dyDescent="0.3">
      <c r="A3" s="1" t="s">
        <v>43</v>
      </c>
      <c r="B3" t="s">
        <v>23</v>
      </c>
      <c r="C3" t="str">
        <f>RIGHT(A3, 3)</f>
        <v>fer</v>
      </c>
      <c r="G3" s="1" t="s">
        <v>43</v>
      </c>
      <c r="H3" t="str">
        <f t="shared" ref="H3:H13" si="0">TRIM(UPPER(G3))</f>
        <v>FEE OFFER</v>
      </c>
    </row>
    <row r="4" spans="1:8" x14ac:dyDescent="0.3">
      <c r="A4" s="1" t="s">
        <v>0</v>
      </c>
      <c r="B4" t="s">
        <v>24</v>
      </c>
      <c r="C4" t="str">
        <f xml:space="preserve"> MID(A4,4,4)</f>
        <v>hdra</v>
      </c>
      <c r="G4" s="1" t="s">
        <v>0</v>
      </c>
      <c r="H4" t="str">
        <f t="shared" si="0"/>
        <v>WITHDRAWAL</v>
      </c>
    </row>
    <row r="5" spans="1:8" x14ac:dyDescent="0.3">
      <c r="A5" s="1" t="s">
        <v>0</v>
      </c>
      <c r="B5" t="s">
        <v>25</v>
      </c>
      <c r="C5" s="25" t="str">
        <f>_xlfn.CONCAT(A3, " ",A4)</f>
        <v>Fee Offer Withdrawal</v>
      </c>
      <c r="G5" s="1" t="s">
        <v>0</v>
      </c>
      <c r="H5" t="str">
        <f t="shared" si="0"/>
        <v>WITHDRAWAL</v>
      </c>
    </row>
    <row r="6" spans="1:8" x14ac:dyDescent="0.3">
      <c r="A6" s="1" t="s">
        <v>0</v>
      </c>
      <c r="B6" t="s">
        <v>26</v>
      </c>
      <c r="C6" t="str">
        <f>UPPER(A6)</f>
        <v>WITHDRAWAL</v>
      </c>
      <c r="G6" s="1" t="s">
        <v>0</v>
      </c>
      <c r="H6" t="str">
        <f t="shared" si="0"/>
        <v>WITHDRAWAL</v>
      </c>
    </row>
    <row r="7" spans="1:8" x14ac:dyDescent="0.3">
      <c r="A7" s="1" t="s">
        <v>2</v>
      </c>
      <c r="B7" t="s">
        <v>27</v>
      </c>
      <c r="C7" t="str">
        <f>LOWER(A7)</f>
        <v>payment</v>
      </c>
      <c r="G7" s="1" t="s">
        <v>2</v>
      </c>
      <c r="H7" t="str">
        <f t="shared" si="0"/>
        <v>PAYMENT</v>
      </c>
    </row>
    <row r="8" spans="1:8" x14ac:dyDescent="0.3">
      <c r="A8" s="1" t="s">
        <v>44</v>
      </c>
      <c r="B8" t="s">
        <v>28</v>
      </c>
      <c r="C8" t="str">
        <f>PROPER(A8)</f>
        <v>Deposit Money</v>
      </c>
      <c r="G8" s="1" t="s">
        <v>44</v>
      </c>
      <c r="H8" t="str">
        <f t="shared" si="0"/>
        <v>DEPOSIT MONEY</v>
      </c>
    </row>
    <row r="9" spans="1:8" x14ac:dyDescent="0.3">
      <c r="A9" s="3" t="s">
        <v>45</v>
      </c>
      <c r="B9" t="s">
        <v>29</v>
      </c>
      <c r="C9" t="str">
        <f>TRIM(A9)</f>
        <v>Deposit</v>
      </c>
      <c r="D9">
        <f>LEN(A9)</f>
        <v>13</v>
      </c>
      <c r="E9">
        <f>LEN(C9)</f>
        <v>7</v>
      </c>
      <c r="G9" s="3" t="s">
        <v>45</v>
      </c>
      <c r="H9" t="str">
        <f t="shared" si="0"/>
        <v>DEPOSIT</v>
      </c>
    </row>
    <row r="10" spans="1:8" x14ac:dyDescent="0.3">
      <c r="A10" s="1" t="s">
        <v>2</v>
      </c>
      <c r="B10" t="s">
        <v>30</v>
      </c>
      <c r="C10" t="str">
        <f>CLEAN(A10)</f>
        <v>Payment</v>
      </c>
      <c r="G10" s="1" t="s">
        <v>2</v>
      </c>
      <c r="H10" t="str">
        <f t="shared" si="0"/>
        <v>PAYMENT</v>
      </c>
    </row>
    <row r="11" spans="1:8" x14ac:dyDescent="0.3">
      <c r="A11" s="1" t="s">
        <v>2</v>
      </c>
      <c r="B11" t="s">
        <v>31</v>
      </c>
      <c r="C11">
        <f>LEN(A11)</f>
        <v>7</v>
      </c>
      <c r="G11" s="1" t="s">
        <v>2</v>
      </c>
      <c r="H11" t="str">
        <f t="shared" si="0"/>
        <v>PAYMENT</v>
      </c>
    </row>
    <row r="12" spans="1:8" x14ac:dyDescent="0.3">
      <c r="A12" s="1" t="s">
        <v>46</v>
      </c>
      <c r="B12" t="s">
        <v>32</v>
      </c>
      <c r="C12" t="e">
        <f>FIND("O",A12)</f>
        <v>#VALUE!</v>
      </c>
      <c r="G12" s="1" t="s">
        <v>1</v>
      </c>
      <c r="H12" t="str">
        <f t="shared" si="0"/>
        <v>FEE</v>
      </c>
    </row>
    <row r="13" spans="1:8" x14ac:dyDescent="0.3">
      <c r="A13" s="1" t="s">
        <v>0</v>
      </c>
      <c r="B13" t="s">
        <v>33</v>
      </c>
      <c r="C13">
        <f>SEARCH("D", A13)</f>
        <v>5</v>
      </c>
      <c r="G13" s="1" t="s">
        <v>0</v>
      </c>
      <c r="H13" t="str">
        <f t="shared" si="0"/>
        <v>WITHDRAWAL</v>
      </c>
    </row>
    <row r="14" spans="1:8" x14ac:dyDescent="0.3">
      <c r="A14" s="1" t="s">
        <v>4</v>
      </c>
      <c r="B14" t="s">
        <v>34</v>
      </c>
      <c r="C14" t="str">
        <f>REPT(A14, 3)</f>
        <v>TransferTransferTransfer</v>
      </c>
    </row>
    <row r="15" spans="1:8" x14ac:dyDescent="0.3">
      <c r="A15" s="1" t="s">
        <v>3</v>
      </c>
      <c r="B15" t="s">
        <v>35</v>
      </c>
      <c r="C15" t="str">
        <f>REPLACE(A15,3,3,"POS")</f>
        <v>DePOSit</v>
      </c>
    </row>
    <row r="16" spans="1:8" x14ac:dyDescent="0.3">
      <c r="A16" s="1" t="s">
        <v>4</v>
      </c>
      <c r="B16" t="s">
        <v>36</v>
      </c>
      <c r="C16" t="str">
        <f>SUBSTITUTE(A16,"a", "BB")</f>
        <v>TrBBnsfer</v>
      </c>
    </row>
    <row r="17" spans="1:7" x14ac:dyDescent="0.3">
      <c r="A17" s="1" t="s">
        <v>5</v>
      </c>
      <c r="B17" t="s">
        <v>37</v>
      </c>
      <c r="C17" t="str">
        <f>_xlfn.TEXTJOIN("$",1,A16,A17,A18)</f>
        <v>Transfer$Loan$Payment,method</v>
      </c>
    </row>
    <row r="18" spans="1:7" x14ac:dyDescent="0.3">
      <c r="A18" s="1" t="s">
        <v>51</v>
      </c>
      <c r="B18" t="s">
        <v>38</v>
      </c>
      <c r="C18" t="str">
        <f>_xlfn.TEXTAFTER(A18,",")</f>
        <v>method</v>
      </c>
    </row>
    <row r="19" spans="1:7" x14ac:dyDescent="0.3">
      <c r="A19" s="1" t="s">
        <v>50</v>
      </c>
      <c r="B19" t="s">
        <v>47</v>
      </c>
      <c r="C19" t="str">
        <f>_xlfn.TEXTBEFORE(A19, "-")</f>
        <v>Transfer</v>
      </c>
    </row>
    <row r="20" spans="1:7" x14ac:dyDescent="0.3">
      <c r="A20" s="1" t="s">
        <v>49</v>
      </c>
      <c r="B20" t="s">
        <v>48</v>
      </c>
      <c r="C20" t="str" cm="1">
        <f t="array" ref="C20:D20">_xlfn.TEXTSPLIT(A20,"-")</f>
        <v>Payment</v>
      </c>
      <c r="D20" t="str">
        <v>method</v>
      </c>
      <c r="G20" t="e" cm="1">
        <f t="array" ref="G20">up</f>
        <v>#NAME?</v>
      </c>
    </row>
    <row r="21" spans="1:7" x14ac:dyDescent="0.3">
      <c r="A21" s="1" t="s">
        <v>0</v>
      </c>
      <c r="B21" t="s">
        <v>52</v>
      </c>
      <c r="C21" t="b">
        <f>EXACT(A21,A23)</f>
        <v>0</v>
      </c>
    </row>
    <row r="22" spans="1:7" x14ac:dyDescent="0.3">
      <c r="A22" s="1" t="s">
        <v>3</v>
      </c>
    </row>
    <row r="23" spans="1:7" x14ac:dyDescent="0.3">
      <c r="A23" s="1" t="s">
        <v>53</v>
      </c>
    </row>
    <row r="32" spans="1:7" x14ac:dyDescent="0.3">
      <c r="C32" s="2" t="s">
        <v>21</v>
      </c>
    </row>
    <row r="33" spans="1:6" x14ac:dyDescent="0.3">
      <c r="A33" s="4" t="s">
        <v>7</v>
      </c>
      <c r="B33" s="4" t="s">
        <v>13</v>
      </c>
      <c r="C33" t="s">
        <v>39</v>
      </c>
      <c r="D33">
        <f>DAY(A33)</f>
        <v>1</v>
      </c>
      <c r="E33" t="s">
        <v>57</v>
      </c>
      <c r="F33" s="5">
        <f>DATE(D35,D34,D33)</f>
        <v>45474</v>
      </c>
    </row>
    <row r="34" spans="1:6" x14ac:dyDescent="0.3">
      <c r="A34" s="4" t="s">
        <v>8</v>
      </c>
      <c r="B34" s="4" t="s">
        <v>14</v>
      </c>
      <c r="C34" t="s">
        <v>40</v>
      </c>
      <c r="D34">
        <f>MONTH(A34)</f>
        <v>7</v>
      </c>
    </row>
    <row r="35" spans="1:6" x14ac:dyDescent="0.3">
      <c r="A35" s="4" t="s">
        <v>9</v>
      </c>
      <c r="B35" s="4" t="s">
        <v>15</v>
      </c>
      <c r="C35" t="s">
        <v>41</v>
      </c>
      <c r="D35">
        <f>YEAR(A35)</f>
        <v>2024</v>
      </c>
    </row>
    <row r="36" spans="1:6" x14ac:dyDescent="0.3">
      <c r="A36" s="4" t="s">
        <v>10</v>
      </c>
      <c r="B36" s="4" t="s">
        <v>16</v>
      </c>
      <c r="C36" t="s">
        <v>42</v>
      </c>
    </row>
    <row r="37" spans="1:6" x14ac:dyDescent="0.3">
      <c r="A37" s="4">
        <v>45382</v>
      </c>
      <c r="B37" s="9">
        <v>45352</v>
      </c>
      <c r="C37" t="s">
        <v>59</v>
      </c>
      <c r="D37">
        <f>NETWORKDAYS(B37,A37,A38)</f>
        <v>20</v>
      </c>
    </row>
    <row r="38" spans="1:6" x14ac:dyDescent="0.3">
      <c r="A38" s="4">
        <v>45364</v>
      </c>
      <c r="B38" s="4" t="s">
        <v>17</v>
      </c>
      <c r="D38">
        <f>NETWORKDAYS.INTL(B37,A37,11,A38:A39)</f>
        <v>24</v>
      </c>
    </row>
    <row r="39" spans="1:6" x14ac:dyDescent="0.3">
      <c r="A39" s="4">
        <v>45369</v>
      </c>
      <c r="B39" s="4" t="s">
        <v>18</v>
      </c>
    </row>
    <row r="40" spans="1:6" x14ac:dyDescent="0.3">
      <c r="A40" s="4" t="s">
        <v>11</v>
      </c>
      <c r="B40" s="4" t="s">
        <v>19</v>
      </c>
    </row>
    <row r="41" spans="1:6" x14ac:dyDescent="0.3">
      <c r="A41" s="4" t="s">
        <v>12</v>
      </c>
      <c r="B41" s="4" t="s">
        <v>20</v>
      </c>
    </row>
    <row r="43" spans="1:6" x14ac:dyDescent="0.3">
      <c r="A43" s="6">
        <v>0.4380208333333333</v>
      </c>
      <c r="B43" s="7" t="s">
        <v>54</v>
      </c>
      <c r="C43">
        <f>SECOND(A43)</f>
        <v>45</v>
      </c>
      <c r="D43" t="s">
        <v>58</v>
      </c>
      <c r="E43" s="8">
        <f>TIME(C45,C44,C43)</f>
        <v>0.52135416666666667</v>
      </c>
    </row>
    <row r="44" spans="1:6" x14ac:dyDescent="0.3">
      <c r="A44" s="6">
        <v>0.47968749999999999</v>
      </c>
      <c r="B44" s="7" t="s">
        <v>55</v>
      </c>
      <c r="C44">
        <f>MINUTE(A44)</f>
        <v>30</v>
      </c>
    </row>
    <row r="45" spans="1:6" x14ac:dyDescent="0.3">
      <c r="A45" s="6">
        <v>0.52135416666666701</v>
      </c>
      <c r="B45" s="7" t="s">
        <v>56</v>
      </c>
      <c r="C45">
        <f>HOUR(A45)</f>
        <v>12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AACF-7325-4261-BD70-E0037F2156CA}">
  <dimension ref="A1:I54"/>
  <sheetViews>
    <sheetView topLeftCell="D1" zoomScale="115" zoomScaleNormal="115" workbookViewId="0">
      <selection activeCell="C11" sqref="C11"/>
    </sheetView>
  </sheetViews>
  <sheetFormatPr defaultRowHeight="15.6" x14ac:dyDescent="0.3"/>
  <cols>
    <col min="1" max="1" width="10.19921875" bestFit="1" customWidth="1"/>
    <col min="2" max="2" width="11" bestFit="1" customWidth="1"/>
    <col min="3" max="3" width="17.5" bestFit="1" customWidth="1"/>
    <col min="4" max="4" width="12.296875" bestFit="1" customWidth="1"/>
    <col min="5" max="5" width="11.69921875" bestFit="1" customWidth="1"/>
    <col min="6" max="6" width="11.09765625" bestFit="1" customWidth="1"/>
    <col min="7" max="7" width="20.8984375" customWidth="1"/>
    <col min="8" max="8" width="10.796875" bestFit="1" customWidth="1"/>
    <col min="9" max="9" width="17.296875" style="5" bestFit="1" customWidth="1"/>
  </cols>
  <sheetData>
    <row r="1" spans="1:9" x14ac:dyDescent="0.3">
      <c r="A1" s="11" t="s">
        <v>93</v>
      </c>
      <c r="B1" s="11" t="s">
        <v>94</v>
      </c>
      <c r="C1" s="11" t="s">
        <v>95</v>
      </c>
      <c r="D1" s="11" t="s">
        <v>96</v>
      </c>
      <c r="E1" s="11" t="s">
        <v>97</v>
      </c>
      <c r="F1" s="11" t="s">
        <v>98</v>
      </c>
      <c r="G1" s="11" t="s">
        <v>99</v>
      </c>
      <c r="H1" s="11" t="s">
        <v>100</v>
      </c>
      <c r="I1" s="15" t="s">
        <v>101</v>
      </c>
    </row>
    <row r="2" spans="1:9" x14ac:dyDescent="0.3">
      <c r="A2" s="1" t="s">
        <v>88</v>
      </c>
      <c r="B2" s="14" t="s">
        <v>89</v>
      </c>
      <c r="C2" s="1" t="s">
        <v>1</v>
      </c>
      <c r="D2" s="1" t="s">
        <v>66</v>
      </c>
      <c r="E2" s="1" t="s">
        <v>63</v>
      </c>
      <c r="F2" s="10">
        <v>19.21</v>
      </c>
      <c r="G2" s="10">
        <f>F2*VLOOKUP(E2,{"USD",1;"EUR",1.08;"GBP",1.27;"JPY",0.0067;"CNY",0.14;"INR",0.012},2,FALSE)</f>
        <v>20.746800000000004</v>
      </c>
      <c r="H2" s="10">
        <v>374347.01</v>
      </c>
      <c r="I2" s="7">
        <v>44703</v>
      </c>
    </row>
    <row r="3" spans="1:9" x14ac:dyDescent="0.3">
      <c r="A3" s="1" t="s">
        <v>68</v>
      </c>
      <c r="B3" s="1" t="s">
        <v>69</v>
      </c>
      <c r="C3" s="1" t="s">
        <v>2</v>
      </c>
      <c r="D3" s="1" t="s">
        <v>73</v>
      </c>
      <c r="E3" s="1" t="s">
        <v>67</v>
      </c>
      <c r="F3" s="10">
        <v>836</v>
      </c>
      <c r="G3" s="10">
        <f>F3*VLOOKUP(E3,{"USD",1;"EUR",1.08;"GBP",1.27;"JPY",0.0067;"CNY",0.14;"INR",0.012},2,FALSE)</f>
        <v>836</v>
      </c>
      <c r="H3" s="10">
        <v>27106.880000000001</v>
      </c>
      <c r="I3" s="7">
        <v>44703</v>
      </c>
    </row>
    <row r="4" spans="1:9" x14ac:dyDescent="0.3">
      <c r="A4" s="1" t="s">
        <v>80</v>
      </c>
      <c r="B4" s="1" t="s">
        <v>81</v>
      </c>
      <c r="C4" s="1" t="s">
        <v>2</v>
      </c>
      <c r="D4" s="1" t="s">
        <v>73</v>
      </c>
      <c r="E4" s="1" t="s">
        <v>63</v>
      </c>
      <c r="F4" s="10">
        <v>2124.86</v>
      </c>
      <c r="G4" s="10" t="e">
        <f>F4*VLOOKUP(E4,{0,0;0,0;0,0;0,0;0,0;0,0},2,FALSE)</f>
        <v>#N/A</v>
      </c>
      <c r="H4" s="10">
        <v>13262.95</v>
      </c>
      <c r="I4" s="7">
        <v>44756</v>
      </c>
    </row>
    <row r="5" spans="1:9" x14ac:dyDescent="0.3">
      <c r="A5" s="1" t="s">
        <v>64</v>
      </c>
      <c r="B5" s="1" t="s">
        <v>65</v>
      </c>
      <c r="C5" s="1" t="s">
        <v>1</v>
      </c>
      <c r="D5" s="1" t="s">
        <v>66</v>
      </c>
      <c r="E5" s="1" t="s">
        <v>67</v>
      </c>
      <c r="F5" s="10">
        <v>12.41</v>
      </c>
      <c r="G5" s="10">
        <f>F5*VLOOKUP(E5,{"USD",1;"EUR",1.08;"GBP",1.27;"JPY",0.0067;"CNY",0.14;"INR",0.012},2,FALSE)</f>
        <v>12.41</v>
      </c>
      <c r="H5" s="10">
        <v>109657.63</v>
      </c>
      <c r="I5" s="7">
        <v>44774</v>
      </c>
    </row>
    <row r="6" spans="1:9" x14ac:dyDescent="0.3">
      <c r="A6" s="1" t="s">
        <v>60</v>
      </c>
      <c r="B6" s="1" t="s">
        <v>61</v>
      </c>
      <c r="C6" s="1" t="s">
        <v>0</v>
      </c>
      <c r="D6" s="1" t="s">
        <v>62</v>
      </c>
      <c r="E6" s="1" t="s">
        <v>63</v>
      </c>
      <c r="F6" s="10">
        <v>955.8</v>
      </c>
      <c r="G6" s="10">
        <f>F6*VLOOKUP(E6,{"USD",1;"EUR",1.08;"GBP",1.27;"JPY",0.0067;"CNY",0.14;"INR",0.012},2,FALSE)</f>
        <v>1032.2640000000001</v>
      </c>
      <c r="H6" s="10">
        <v>240457.01</v>
      </c>
      <c r="I6" s="7">
        <v>45094</v>
      </c>
    </row>
    <row r="7" spans="1:9" x14ac:dyDescent="0.3">
      <c r="A7" s="1" t="s">
        <v>70</v>
      </c>
      <c r="B7" s="12" t="s">
        <v>71</v>
      </c>
      <c r="C7" s="1" t="s">
        <v>0</v>
      </c>
      <c r="D7" s="1" t="s">
        <v>72</v>
      </c>
      <c r="E7" s="1" t="s">
        <v>63</v>
      </c>
      <c r="F7" s="10">
        <v>522.01</v>
      </c>
      <c r="G7" s="10">
        <f>F7*VLOOKUP(E7,{"USD",1;"EUR",1.08;"GBP",1.27;"JPY",0.0067;"CNY",0.14;"INR",0.012},2,FALSE)</f>
        <v>563.77080000000001</v>
      </c>
      <c r="H7" s="10">
        <v>245250.85</v>
      </c>
      <c r="I7" s="7">
        <v>45187</v>
      </c>
    </row>
    <row r="8" spans="1:9" x14ac:dyDescent="0.3">
      <c r="A8" s="1" t="s">
        <v>77</v>
      </c>
      <c r="B8" s="1" t="s">
        <v>77</v>
      </c>
      <c r="C8" s="1" t="s">
        <v>4</v>
      </c>
      <c r="D8" s="1" t="s">
        <v>66</v>
      </c>
      <c r="E8" s="1" t="s">
        <v>67</v>
      </c>
      <c r="F8" s="10">
        <v>2581.61</v>
      </c>
      <c r="G8" s="10">
        <f>F8*VLOOKUP(E8,{"USD",1;"EUR",1.08;"GBP",1.27;"JPY",0.0067;"CNY",0.14;"INR",0.012},2,FALSE)</f>
        <v>2581.61</v>
      </c>
      <c r="H8" s="10">
        <v>140472.99</v>
      </c>
      <c r="I8" s="7">
        <v>45303</v>
      </c>
    </row>
    <row r="9" spans="1:9" x14ac:dyDescent="0.3">
      <c r="A9" s="1" t="s">
        <v>86</v>
      </c>
      <c r="B9" s="1" t="s">
        <v>87</v>
      </c>
      <c r="C9" s="1" t="s">
        <v>2</v>
      </c>
      <c r="D9" s="1" t="s">
        <v>66</v>
      </c>
      <c r="E9" s="1" t="s">
        <v>67</v>
      </c>
      <c r="F9" s="10">
        <v>3732.24</v>
      </c>
      <c r="G9" s="10">
        <f>F9*VLOOKUP(E9,{"USD",1;"EUR",1.08;"GBP",1.27;"JPY",0.0067;"CNY",0.14;"INR",0.012},2,FALSE)</f>
        <v>3732.24</v>
      </c>
      <c r="H9" s="10">
        <v>274526.69</v>
      </c>
      <c r="I9" s="7">
        <v>45314</v>
      </c>
    </row>
    <row r="10" spans="1:9" x14ac:dyDescent="0.3">
      <c r="A10" s="1" t="s">
        <v>68</v>
      </c>
      <c r="B10" s="1" t="s">
        <v>69</v>
      </c>
      <c r="C10" s="1" t="s">
        <v>0</v>
      </c>
      <c r="D10" s="1" t="s">
        <v>62</v>
      </c>
      <c r="E10" s="1" t="s">
        <v>67</v>
      </c>
      <c r="F10" s="10">
        <v>1842.59</v>
      </c>
      <c r="G10" s="10">
        <f>F10*VLOOKUP(E10,{"USD",1;"EUR",1.08;"GBP",1.27;"JPY",0.0067;"CNY",0.14;"INR",0.012},2,FALSE)</f>
        <v>1842.59</v>
      </c>
      <c r="H10" s="10">
        <v>438961.01</v>
      </c>
      <c r="I10" s="7">
        <v>45341</v>
      </c>
    </row>
    <row r="11" spans="1:9" x14ac:dyDescent="0.3">
      <c r="A11" s="1" t="s">
        <v>84</v>
      </c>
      <c r="B11" s="1" t="s">
        <v>85</v>
      </c>
      <c r="C11" s="1" t="s">
        <v>2</v>
      </c>
      <c r="D11" s="1" t="s">
        <v>66</v>
      </c>
      <c r="E11" s="1" t="s">
        <v>67</v>
      </c>
      <c r="F11" s="10">
        <v>911.22</v>
      </c>
      <c r="G11" s="10">
        <f>F11*VLOOKUP(E11,{"USD",1;"EUR",1.08;"GBP",1.27;"JPY",0.0067;"CNY",0.14;"INR",0.012},2,FALSE)</f>
        <v>911.22</v>
      </c>
      <c r="H11" s="10">
        <v>361313.83</v>
      </c>
      <c r="I11" s="7">
        <v>45381</v>
      </c>
    </row>
    <row r="12" spans="1:9" x14ac:dyDescent="0.3">
      <c r="A12" s="1" t="s">
        <v>70</v>
      </c>
      <c r="B12" s="12" t="s">
        <v>71</v>
      </c>
      <c r="C12" s="1" t="s">
        <v>0</v>
      </c>
      <c r="D12" s="1" t="s">
        <v>73</v>
      </c>
      <c r="E12" s="1" t="s">
        <v>67</v>
      </c>
      <c r="F12" s="10">
        <v>874.91</v>
      </c>
      <c r="G12" s="10">
        <f>F12*VLOOKUP(E12,{"USD",1;"EUR",1.08;"GBP",1.27;"JPY",0.0067;"CNY",0.14;"INR",0.012},2,FALSE)</f>
        <v>874.91</v>
      </c>
      <c r="H12" s="10">
        <v>412084.25</v>
      </c>
      <c r="I12" s="7">
        <v>44703</v>
      </c>
    </row>
    <row r="13" spans="1:9" x14ac:dyDescent="0.3">
      <c r="A13" s="1" t="s">
        <v>70</v>
      </c>
      <c r="B13" s="14" t="s">
        <v>71</v>
      </c>
      <c r="C13" s="1" t="s">
        <v>2</v>
      </c>
      <c r="D13" s="1" t="s">
        <v>91</v>
      </c>
      <c r="E13" s="1" t="s">
        <v>79</v>
      </c>
      <c r="F13" s="10">
        <v>2655.88</v>
      </c>
      <c r="G13" s="10">
        <f>F13*VLOOKUP(E13,{"USD",1;"EUR",1.08;"GBP",1.27;"JPY",0.0067;"CNY",0.14;"INR",0.012},2,FALSE)</f>
        <v>371.82320000000004</v>
      </c>
      <c r="H13" s="10">
        <v>348495.91</v>
      </c>
      <c r="I13" s="7">
        <v>44703</v>
      </c>
    </row>
    <row r="14" spans="1:9" x14ac:dyDescent="0.3">
      <c r="A14" s="1" t="s">
        <v>80</v>
      </c>
      <c r="B14" s="1" t="s">
        <v>81</v>
      </c>
      <c r="C14" s="1" t="s">
        <v>2</v>
      </c>
      <c r="D14" s="1" t="s">
        <v>82</v>
      </c>
      <c r="E14" s="1" t="s">
        <v>67</v>
      </c>
      <c r="F14" s="10">
        <v>3986.97</v>
      </c>
      <c r="G14" s="10">
        <f>F14*VLOOKUP(E14,{"USD",1;"EUR",1.08;"GBP",1.27;"JPY",0.0067;"CNY",0.14;"INR",0.012},2,FALSE)</f>
        <v>3986.97</v>
      </c>
      <c r="H14" s="10">
        <v>365856.11</v>
      </c>
      <c r="I14" s="7">
        <v>44756</v>
      </c>
    </row>
    <row r="15" spans="1:9" x14ac:dyDescent="0.3">
      <c r="A15" s="1" t="s">
        <v>77</v>
      </c>
      <c r="B15" s="1" t="s">
        <v>77</v>
      </c>
      <c r="C15" s="1" t="s">
        <v>83</v>
      </c>
      <c r="D15" s="1" t="s">
        <v>83</v>
      </c>
      <c r="E15" s="1" t="s">
        <v>67</v>
      </c>
      <c r="F15" s="10">
        <v>3269.89</v>
      </c>
      <c r="G15" s="10" t="e">
        <f>F15*VLOOKUP(E15,{0,0;0,0;0,0;0,0;0,0;0,0},2,FALSE)</f>
        <v>#N/A</v>
      </c>
      <c r="H15" s="10">
        <v>275854.65999999997</v>
      </c>
      <c r="I15" s="7">
        <v>44774</v>
      </c>
    </row>
    <row r="16" spans="1:9" x14ac:dyDescent="0.3">
      <c r="A16" s="1" t="s">
        <v>74</v>
      </c>
      <c r="B16" s="12" t="s">
        <v>75</v>
      </c>
      <c r="C16" s="1" t="s">
        <v>2</v>
      </c>
      <c r="D16" s="1" t="s">
        <v>76</v>
      </c>
      <c r="E16" s="1" t="s">
        <v>67</v>
      </c>
      <c r="F16" s="10">
        <v>4131.9399999999996</v>
      </c>
      <c r="G16" s="10">
        <f>F16*VLOOKUP(E16,{"USD",1;"EUR",1.08;"GBP",1.27;"JPY",0.0067;"CNY",0.14;"INR",0.012},2,FALSE)</f>
        <v>4131.9399999999996</v>
      </c>
      <c r="H16" s="10">
        <v>311006.01</v>
      </c>
      <c r="I16" s="7">
        <v>45094</v>
      </c>
    </row>
    <row r="17" spans="1:9" x14ac:dyDescent="0.3">
      <c r="A17" s="1" t="s">
        <v>80</v>
      </c>
      <c r="B17" s="1" t="s">
        <v>81</v>
      </c>
      <c r="C17" s="1" t="s">
        <v>4</v>
      </c>
      <c r="D17" s="1" t="s">
        <v>66</v>
      </c>
      <c r="E17" s="1" t="s">
        <v>67</v>
      </c>
      <c r="F17" s="10">
        <v>1597.27</v>
      </c>
      <c r="G17" s="10">
        <f>F17*VLOOKUP(E17,{"USD",1;"EUR",1.08;"GBP",1.27;"JPY",0.0067;"CNY",0.14;"INR",0.012},2,FALSE)</f>
        <v>1597.27</v>
      </c>
      <c r="H17" s="10">
        <v>47149.37</v>
      </c>
      <c r="I17" s="7">
        <v>45187</v>
      </c>
    </row>
    <row r="18" spans="1:9" x14ac:dyDescent="0.3">
      <c r="A18" s="1" t="s">
        <v>68</v>
      </c>
      <c r="B18" s="1" t="s">
        <v>69</v>
      </c>
      <c r="C18" s="1" t="s">
        <v>1</v>
      </c>
      <c r="D18" s="1" t="s">
        <v>66</v>
      </c>
      <c r="E18" s="1" t="s">
        <v>67</v>
      </c>
      <c r="F18" s="10">
        <v>8.57</v>
      </c>
      <c r="G18" s="10">
        <f>F18*VLOOKUP(E18,{"USD",1;"EUR",1.08;"GBP",1.27;"JPY",0.0067;"CNY",0.14;"INR",0.012},2,FALSE)</f>
        <v>8.57</v>
      </c>
      <c r="H18" s="10">
        <v>332420.21000000002</v>
      </c>
      <c r="I18" s="7">
        <v>45303</v>
      </c>
    </row>
    <row r="19" spans="1:9" x14ac:dyDescent="0.3">
      <c r="A19" s="1" t="s">
        <v>80</v>
      </c>
      <c r="B19" s="13" t="s">
        <v>81</v>
      </c>
      <c r="C19" s="1" t="s">
        <v>4</v>
      </c>
      <c r="D19" s="1" t="s">
        <v>66</v>
      </c>
      <c r="E19" s="1" t="s">
        <v>67</v>
      </c>
      <c r="F19" s="10">
        <v>1113.46</v>
      </c>
      <c r="G19" s="10">
        <f>F19*VLOOKUP(E19,{"USD",1;"EUR",1.08;"GBP",1.27;"JPY",0.0067;"CNY",0.14;"INR",0.012},2,FALSE)</f>
        <v>1113.46</v>
      </c>
      <c r="H19" s="10">
        <v>398456.14</v>
      </c>
      <c r="I19" s="7">
        <v>45314</v>
      </c>
    </row>
    <row r="20" spans="1:9" x14ac:dyDescent="0.3">
      <c r="A20" s="1" t="s">
        <v>68</v>
      </c>
      <c r="B20" s="14" t="s">
        <v>69</v>
      </c>
      <c r="C20" s="1" t="s">
        <v>3</v>
      </c>
      <c r="D20" s="1" t="s">
        <v>83</v>
      </c>
      <c r="E20" s="1" t="s">
        <v>63</v>
      </c>
      <c r="F20" s="10">
        <v>10956.22</v>
      </c>
      <c r="G20" s="10">
        <f>F20*VLOOKUP(E20,{"USD",1;"EUR",1.08;"GBP",1.27;"JPY",0.0067;"CNY",0.14;"INR",0.012},2,FALSE)</f>
        <v>11832.7176</v>
      </c>
      <c r="H20" s="10">
        <v>355941.18</v>
      </c>
      <c r="I20" s="7">
        <v>45341</v>
      </c>
    </row>
    <row r="21" spans="1:9" x14ac:dyDescent="0.3">
      <c r="A21" s="1" t="s">
        <v>68</v>
      </c>
      <c r="B21" s="1" t="s">
        <v>69</v>
      </c>
      <c r="C21" s="1" t="s">
        <v>1</v>
      </c>
      <c r="D21" s="1" t="s">
        <v>66</v>
      </c>
      <c r="E21" s="1" t="s">
        <v>67</v>
      </c>
      <c r="F21" s="10">
        <v>24.12</v>
      </c>
      <c r="G21" s="10">
        <f>F21*VLOOKUP(E21,{"USD",1;"EUR",1.08;"GBP",1.27;"JPY",0.0067;"CNY",0.14;"INR",0.012},2,FALSE)</f>
        <v>24.12</v>
      </c>
      <c r="H21" s="10">
        <v>188024.67</v>
      </c>
      <c r="I21" s="7">
        <v>45381</v>
      </c>
    </row>
    <row r="22" spans="1:9" x14ac:dyDescent="0.3">
      <c r="A22" s="1" t="s">
        <v>60</v>
      </c>
      <c r="B22" s="1" t="s">
        <v>61</v>
      </c>
      <c r="C22" s="1" t="s">
        <v>83</v>
      </c>
      <c r="D22" s="1" t="s">
        <v>83</v>
      </c>
      <c r="E22" s="1" t="s">
        <v>90</v>
      </c>
      <c r="F22" s="10">
        <v>12553.4</v>
      </c>
      <c r="G22" s="10" t="e">
        <f>F22*VLOOKUP(E22,{0,0;0,0;0,0;0,0;0,0;0,0},2,FALSE)</f>
        <v>#N/A</v>
      </c>
      <c r="H22" s="10">
        <v>435540.32</v>
      </c>
      <c r="I22" s="7">
        <v>44703</v>
      </c>
    </row>
    <row r="23" spans="1:9" x14ac:dyDescent="0.3">
      <c r="A23" s="1" t="s">
        <v>88</v>
      </c>
      <c r="B23" s="1" t="s">
        <v>89</v>
      </c>
      <c r="C23" s="1" t="s">
        <v>0</v>
      </c>
      <c r="D23" s="1" t="s">
        <v>72</v>
      </c>
      <c r="E23" s="1" t="s">
        <v>90</v>
      </c>
      <c r="F23" s="10">
        <v>385.87</v>
      </c>
      <c r="G23" s="10">
        <f>F23*VLOOKUP(E23,{"USD",1;"EUR",1.08;"GBP",1.27;"JPY",0.0067;"CNY",0.14;"INR",0.012},2,FALSE)</f>
        <v>490.05490000000003</v>
      </c>
      <c r="H23" s="10">
        <v>471644.58</v>
      </c>
      <c r="I23" s="7">
        <v>44756</v>
      </c>
    </row>
    <row r="24" spans="1:9" x14ac:dyDescent="0.3">
      <c r="A24" s="1" t="s">
        <v>77</v>
      </c>
      <c r="B24" s="1" t="s">
        <v>77</v>
      </c>
      <c r="C24" s="1" t="s">
        <v>3</v>
      </c>
      <c r="D24" s="1" t="s">
        <v>78</v>
      </c>
      <c r="E24" s="1" t="s">
        <v>79</v>
      </c>
      <c r="F24" s="10">
        <v>10999.85</v>
      </c>
      <c r="G24" s="10">
        <f>F24*VLOOKUP(E24,{"USD",1;"EUR",1.08;"GBP",1.27;"JPY",0.0067;"CNY",0.14;"INR",0.012},2,FALSE)</f>
        <v>1539.9790000000003</v>
      </c>
      <c r="H24" s="10">
        <v>241947.91</v>
      </c>
      <c r="I24" s="7">
        <v>44774</v>
      </c>
    </row>
    <row r="25" spans="1:9" x14ac:dyDescent="0.3">
      <c r="A25" s="1" t="s">
        <v>77</v>
      </c>
      <c r="B25" s="1" t="s">
        <v>77</v>
      </c>
      <c r="C25" s="1" t="s">
        <v>3</v>
      </c>
      <c r="D25" s="1" t="s">
        <v>83</v>
      </c>
      <c r="E25" s="1" t="s">
        <v>92</v>
      </c>
      <c r="F25" s="10">
        <v>1412.5</v>
      </c>
      <c r="G25" s="10">
        <f>F25*VLOOKUP(E25,{"USD",1;"EUR",1.08;"GBP",1.27;"JPY",0.0067;"CNY",0.14;"INR",0.012},2,FALSE)</f>
        <v>16.95</v>
      </c>
      <c r="H25" s="10">
        <v>367504.4</v>
      </c>
      <c r="I25" s="7">
        <v>45094</v>
      </c>
    </row>
    <row r="26" spans="1:9" x14ac:dyDescent="0.3">
      <c r="A26" s="1" t="s">
        <v>60</v>
      </c>
      <c r="B26" s="1" t="s">
        <v>61</v>
      </c>
      <c r="C26" s="1" t="s">
        <v>5</v>
      </c>
      <c r="D26" s="1" t="s">
        <v>66</v>
      </c>
      <c r="E26" s="1" t="s">
        <v>67</v>
      </c>
      <c r="F26" s="10">
        <v>80002.33</v>
      </c>
      <c r="G26" s="10">
        <f>F26*VLOOKUP(E26,{"USD",1;"EUR",1.08;"GBP",1.27;"JPY",0.0067;"CNY",0.14;"INR",0.012},2,FALSE)</f>
        <v>80002.33</v>
      </c>
      <c r="H26" s="10">
        <v>215320.81</v>
      </c>
      <c r="I26" s="7">
        <v>45187</v>
      </c>
    </row>
    <row r="27" spans="1:9" x14ac:dyDescent="0.3">
      <c r="A27" s="1" t="s">
        <v>88</v>
      </c>
      <c r="B27" s="1" t="s">
        <v>89</v>
      </c>
      <c r="C27" s="1" t="s">
        <v>3</v>
      </c>
      <c r="D27" s="1" t="s">
        <v>78</v>
      </c>
      <c r="E27" s="1" t="s">
        <v>67</v>
      </c>
      <c r="F27" s="10">
        <v>3931.9</v>
      </c>
      <c r="G27" s="10">
        <f>F27*VLOOKUP(E27,{"USD",1;"EUR",1.08;"GBP",1.27;"JPY",0.0067;"CNY",0.14;"INR",0.012},2,FALSE)</f>
        <v>3931.9</v>
      </c>
      <c r="H27" s="10">
        <v>133616.28</v>
      </c>
      <c r="I27" s="7">
        <v>45303</v>
      </c>
    </row>
    <row r="28" spans="1:9" x14ac:dyDescent="0.3">
      <c r="A28" s="1" t="s">
        <v>60</v>
      </c>
      <c r="B28" s="1" t="s">
        <v>61</v>
      </c>
      <c r="C28" s="1" t="s">
        <v>3</v>
      </c>
      <c r="D28" s="1" t="s">
        <v>78</v>
      </c>
      <c r="E28" s="1" t="s">
        <v>67</v>
      </c>
      <c r="F28" s="10">
        <v>5892.85</v>
      </c>
      <c r="G28" s="10">
        <f>F28*VLOOKUP(E28,{"USD",1;"EUR",1.08;"GBP",1.27;"JPY",0.0067;"CNY",0.14;"INR",0.012},2,FALSE)</f>
        <v>5892.85</v>
      </c>
      <c r="H28" s="10">
        <v>404985.52</v>
      </c>
      <c r="I28" s="7">
        <v>45314</v>
      </c>
    </row>
    <row r="29" spans="1:9" x14ac:dyDescent="0.3">
      <c r="A29" s="1" t="s">
        <v>70</v>
      </c>
      <c r="B29" s="1" t="s">
        <v>71</v>
      </c>
      <c r="C29" s="1" t="s">
        <v>3</v>
      </c>
      <c r="D29" s="1" t="s">
        <v>78</v>
      </c>
      <c r="E29" s="1" t="s">
        <v>79</v>
      </c>
      <c r="F29" s="10">
        <v>4276.34</v>
      </c>
      <c r="G29" s="10">
        <f>F29*VLOOKUP(E29,{"USD",1;"EUR",1.08;"GBP",1.27;"JPY",0.0067;"CNY",0.14;"INR",0.012},2,FALSE)</f>
        <v>598.68760000000009</v>
      </c>
      <c r="H29" s="10">
        <v>53409.85</v>
      </c>
      <c r="I29" s="7">
        <v>45341</v>
      </c>
    </row>
    <row r="30" spans="1:9" x14ac:dyDescent="0.3">
      <c r="A30" s="1" t="s">
        <v>74</v>
      </c>
      <c r="B30" s="13" t="s">
        <v>75</v>
      </c>
      <c r="C30" s="1" t="s">
        <v>3</v>
      </c>
      <c r="D30" s="1" t="s">
        <v>83</v>
      </c>
      <c r="E30" s="1" t="s">
        <v>79</v>
      </c>
      <c r="F30" s="10">
        <v>6320.1</v>
      </c>
      <c r="G30" s="10">
        <f>F30*VLOOKUP(E30,{"USD",1;"EUR",1.08;"GBP",1.27;"JPY",0.0067;"CNY",0.14;"INR",0.012},2,FALSE)</f>
        <v>884.81400000000019</v>
      </c>
      <c r="H30" s="10">
        <v>469777.67</v>
      </c>
      <c r="I30" s="7">
        <v>45381</v>
      </c>
    </row>
    <row r="31" spans="1:9" x14ac:dyDescent="0.3">
      <c r="A31" s="1" t="s">
        <v>88</v>
      </c>
      <c r="B31" s="1" t="s">
        <v>89</v>
      </c>
      <c r="C31" s="1" t="s">
        <v>1</v>
      </c>
      <c r="D31" s="1" t="s">
        <v>66</v>
      </c>
      <c r="E31" s="1" t="s">
        <v>63</v>
      </c>
      <c r="F31" s="10">
        <v>46.18</v>
      </c>
      <c r="G31" s="10">
        <f>F31*VLOOKUP(E31,{"USD",1;"EUR",1.08;"GBP",1.27;"JPY",0.0067;"CNY",0.14;"INR",0.012},2,FALSE)</f>
        <v>49.874400000000001</v>
      </c>
      <c r="H31" s="10">
        <v>87861.95</v>
      </c>
      <c r="I31" s="7">
        <v>44703</v>
      </c>
    </row>
    <row r="32" spans="1:9" x14ac:dyDescent="0.3">
      <c r="A32" s="1" t="s">
        <v>88</v>
      </c>
      <c r="B32" s="14" t="s">
        <v>89</v>
      </c>
      <c r="C32" s="1" t="s">
        <v>4</v>
      </c>
      <c r="D32" s="1" t="s">
        <v>66</v>
      </c>
      <c r="E32" s="1" t="s">
        <v>79</v>
      </c>
      <c r="F32" s="10">
        <v>1965.55</v>
      </c>
      <c r="G32" s="10">
        <f>F32*VLOOKUP(E32,{"USD",1;"EUR",1.08;"GBP",1.27;"JPY",0.0067;"CNY",0.14;"INR",0.012},2,FALSE)</f>
        <v>275.17700000000002</v>
      </c>
      <c r="H32" s="10">
        <v>3443.66</v>
      </c>
      <c r="I32" s="7">
        <v>44703</v>
      </c>
    </row>
    <row r="33" spans="1:9" x14ac:dyDescent="0.3">
      <c r="A33" s="1" t="s">
        <v>77</v>
      </c>
      <c r="B33" s="13" t="s">
        <v>77</v>
      </c>
      <c r="C33" s="1" t="s">
        <v>0</v>
      </c>
      <c r="D33" s="1" t="s">
        <v>62</v>
      </c>
      <c r="E33" s="1" t="s">
        <v>67</v>
      </c>
      <c r="F33" s="10">
        <v>1514.19</v>
      </c>
      <c r="G33" s="10">
        <f>F33*VLOOKUP(E33,{"USD",1;"EUR",1.08;"GBP",1.27;"JPY",0.0067;"CNY",0.14;"INR",0.012},2,FALSE)</f>
        <v>1514.19</v>
      </c>
      <c r="H33" s="10">
        <v>58401.69</v>
      </c>
      <c r="I33" s="7">
        <v>44756</v>
      </c>
    </row>
    <row r="34" spans="1:9" x14ac:dyDescent="0.3">
      <c r="A34" s="1" t="s">
        <v>70</v>
      </c>
      <c r="B34" s="1" t="s">
        <v>71</v>
      </c>
      <c r="C34" s="1" t="s">
        <v>0</v>
      </c>
      <c r="D34" s="1" t="s">
        <v>72</v>
      </c>
      <c r="E34" s="1" t="s">
        <v>67</v>
      </c>
      <c r="F34" s="10">
        <v>271.05</v>
      </c>
      <c r="G34" s="10" t="e">
        <f>F34*VLOOKUP(E34,{0,0;0,0;0,0;0,0;0,0;0,0},2,FALSE)</f>
        <v>#N/A</v>
      </c>
      <c r="H34" s="10">
        <v>95088.51</v>
      </c>
      <c r="I34" s="7">
        <v>44774</v>
      </c>
    </row>
    <row r="35" spans="1:9" x14ac:dyDescent="0.3">
      <c r="I35"/>
    </row>
    <row r="36" spans="1:9" x14ac:dyDescent="0.3">
      <c r="I36"/>
    </row>
    <row r="37" spans="1:9" x14ac:dyDescent="0.3">
      <c r="I37"/>
    </row>
    <row r="38" spans="1:9" x14ac:dyDescent="0.3">
      <c r="I38"/>
    </row>
    <row r="39" spans="1:9" x14ac:dyDescent="0.3">
      <c r="I39"/>
    </row>
    <row r="40" spans="1:9" x14ac:dyDescent="0.3">
      <c r="I40"/>
    </row>
    <row r="41" spans="1:9" x14ac:dyDescent="0.3">
      <c r="I41" s="7"/>
    </row>
    <row r="42" spans="1:9" x14ac:dyDescent="0.3">
      <c r="I42" s="7"/>
    </row>
    <row r="45" spans="1:9" x14ac:dyDescent="0.3">
      <c r="A45" t="str" cm="1">
        <f t="array" ref="A45:A54">_xlfn.UNIQUE(A2:A34)</f>
        <v>Hong Kong</v>
      </c>
    </row>
    <row r="46" spans="1:9" x14ac:dyDescent="0.3">
      <c r="A46" t="str">
        <v>Toronto</v>
      </c>
      <c r="H46" s="1" t="s">
        <v>64</v>
      </c>
    </row>
    <row r="47" spans="1:9" x14ac:dyDescent="0.3">
      <c r="A47" t="str">
        <v>Frankfurt</v>
      </c>
      <c r="H47" s="1" t="s">
        <v>60</v>
      </c>
    </row>
    <row r="48" spans="1:9" x14ac:dyDescent="0.3">
      <c r="A48" t="str">
        <v>Tokyo</v>
      </c>
      <c r="H48" s="1" t="s">
        <v>70</v>
      </c>
    </row>
    <row r="49" spans="1:8" x14ac:dyDescent="0.3">
      <c r="A49" t="str">
        <v>London</v>
      </c>
      <c r="H49" s="1" t="s">
        <v>77</v>
      </c>
    </row>
    <row r="50" spans="1:8" x14ac:dyDescent="0.3">
      <c r="A50" t="str">
        <v>New York</v>
      </c>
      <c r="H50" s="1" t="s">
        <v>86</v>
      </c>
    </row>
    <row r="51" spans="1:8" x14ac:dyDescent="0.3">
      <c r="A51" t="str">
        <v>Singapore</v>
      </c>
    </row>
    <row r="52" spans="1:8" x14ac:dyDescent="0.3">
      <c r="A52" t="str">
        <v>Mumbai</v>
      </c>
    </row>
    <row r="53" spans="1:8" x14ac:dyDescent="0.3">
      <c r="A53" t="str">
        <v>Dubai</v>
      </c>
    </row>
    <row r="54" spans="1:8" x14ac:dyDescent="0.3">
      <c r="A54" t="str">
        <v>Sydney</v>
      </c>
    </row>
  </sheetData>
  <autoFilter ref="A1:I35" xr:uid="{AEA7AACF-7325-4261-BD70-E0037F2156C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35A1C-7ADA-4EAB-8D85-261E1A8E7E1F}">
  <dimension ref="B2:M26"/>
  <sheetViews>
    <sheetView showFormulas="1" topLeftCell="E11" workbookViewId="0">
      <selection activeCell="F21" sqref="F21"/>
    </sheetView>
  </sheetViews>
  <sheetFormatPr defaultRowHeight="15.6" x14ac:dyDescent="0.3"/>
  <cols>
    <col min="2" max="3" width="9.3984375" bestFit="1" customWidth="1"/>
    <col min="4" max="4" width="5.59765625" bestFit="1" customWidth="1"/>
    <col min="5" max="5" width="13.5" bestFit="1" customWidth="1"/>
    <col min="6" max="7" width="7.69921875" bestFit="1" customWidth="1"/>
    <col min="8" max="8" width="7.09765625" bestFit="1" customWidth="1"/>
    <col min="9" max="9" width="10.296875" bestFit="1" customWidth="1"/>
    <col min="10" max="10" width="9.59765625" bestFit="1" customWidth="1"/>
    <col min="11" max="11" width="13.296875" bestFit="1" customWidth="1"/>
  </cols>
  <sheetData>
    <row r="2" spans="2:13" x14ac:dyDescent="0.3">
      <c r="B2" s="11" t="s">
        <v>93</v>
      </c>
    </row>
    <row r="3" spans="2:13" x14ac:dyDescent="0.3">
      <c r="B3" s="1" t="s">
        <v>64</v>
      </c>
    </row>
    <row r="4" spans="2:13" x14ac:dyDescent="0.3">
      <c r="B4" s="1" t="s">
        <v>60</v>
      </c>
      <c r="C4" s="1"/>
      <c r="D4" s="14"/>
      <c r="E4" s="1"/>
      <c r="F4" s="1"/>
      <c r="G4" s="1"/>
      <c r="H4" s="10"/>
      <c r="I4" s="10"/>
      <c r="J4" s="10"/>
      <c r="K4" s="7"/>
    </row>
    <row r="5" spans="2:13" x14ac:dyDescent="0.3">
      <c r="B5" s="1" t="s">
        <v>70</v>
      </c>
    </row>
    <row r="6" spans="2:13" x14ac:dyDescent="0.3">
      <c r="B6" s="1" t="s">
        <v>77</v>
      </c>
    </row>
    <row r="7" spans="2:13" x14ac:dyDescent="0.3">
      <c r="B7" s="1" t="s">
        <v>86</v>
      </c>
    </row>
    <row r="10" spans="2:13" x14ac:dyDescent="0.3">
      <c r="E10" s="11" t="s">
        <v>93</v>
      </c>
      <c r="F10" s="11" t="s">
        <v>94</v>
      </c>
      <c r="G10" s="11" t="s">
        <v>95</v>
      </c>
      <c r="H10" s="11" t="s">
        <v>96</v>
      </c>
      <c r="I10" s="11" t="s">
        <v>97</v>
      </c>
      <c r="J10" s="11" t="s">
        <v>98</v>
      </c>
      <c r="K10" s="11" t="s">
        <v>99</v>
      </c>
      <c r="L10" s="11" t="s">
        <v>100</v>
      </c>
      <c r="M10" s="15" t="s">
        <v>101</v>
      </c>
    </row>
    <row r="11" spans="2:13" x14ac:dyDescent="0.3">
      <c r="E11" s="1" t="s">
        <v>64</v>
      </c>
      <c r="F11" s="1" t="s">
        <v>65</v>
      </c>
      <c r="G11" s="1" t="s">
        <v>1</v>
      </c>
      <c r="H11" s="1" t="s">
        <v>66</v>
      </c>
      <c r="I11" s="1" t="s">
        <v>67</v>
      </c>
      <c r="J11" s="10">
        <v>12.41</v>
      </c>
      <c r="K11" s="10">
        <v>12.41</v>
      </c>
      <c r="L11" s="10">
        <v>109657.63</v>
      </c>
      <c r="M11" s="7">
        <v>44774</v>
      </c>
    </row>
    <row r="12" spans="2:13" x14ac:dyDescent="0.3">
      <c r="E12" s="1" t="s">
        <v>60</v>
      </c>
      <c r="F12" s="1" t="s">
        <v>61</v>
      </c>
      <c r="G12" s="1" t="s">
        <v>0</v>
      </c>
      <c r="H12" s="1" t="s">
        <v>62</v>
      </c>
      <c r="I12" s="1" t="s">
        <v>63</v>
      </c>
      <c r="J12" s="10">
        <v>955.8</v>
      </c>
      <c r="K12" s="10">
        <v>1032.2640000000001</v>
      </c>
      <c r="L12" s="10">
        <v>240457.01</v>
      </c>
      <c r="M12" s="7">
        <v>45094</v>
      </c>
    </row>
    <row r="13" spans="2:13" x14ac:dyDescent="0.3">
      <c r="E13" s="1" t="s">
        <v>70</v>
      </c>
      <c r="F13" s="12" t="s">
        <v>71</v>
      </c>
      <c r="G13" s="1" t="s">
        <v>0</v>
      </c>
      <c r="H13" s="1" t="s">
        <v>72</v>
      </c>
      <c r="I13" s="1" t="s">
        <v>63</v>
      </c>
      <c r="J13" s="10">
        <v>522.01</v>
      </c>
      <c r="K13" s="10">
        <v>563.77080000000001</v>
      </c>
      <c r="L13" s="10">
        <v>245250.85</v>
      </c>
      <c r="M13" s="7">
        <v>45187</v>
      </c>
    </row>
    <row r="14" spans="2:13" x14ac:dyDescent="0.3">
      <c r="E14" s="1" t="s">
        <v>77</v>
      </c>
      <c r="F14" s="1" t="s">
        <v>77</v>
      </c>
      <c r="G14" s="1" t="s">
        <v>4</v>
      </c>
      <c r="H14" s="1" t="s">
        <v>66</v>
      </c>
      <c r="I14" s="1" t="s">
        <v>67</v>
      </c>
      <c r="J14" s="10">
        <v>2581.61</v>
      </c>
      <c r="K14" s="10">
        <v>2581.61</v>
      </c>
      <c r="L14" s="10">
        <v>140472.99</v>
      </c>
      <c r="M14" s="7">
        <v>45303</v>
      </c>
    </row>
    <row r="15" spans="2:13" x14ac:dyDescent="0.3">
      <c r="E15" s="1" t="s">
        <v>86</v>
      </c>
      <c r="F15" s="1" t="s">
        <v>87</v>
      </c>
      <c r="G15" s="1" t="s">
        <v>2</v>
      </c>
      <c r="H15" s="1" t="s">
        <v>66</v>
      </c>
      <c r="I15" s="1" t="s">
        <v>67</v>
      </c>
      <c r="J15" s="10">
        <v>3732.24</v>
      </c>
      <c r="K15" s="10">
        <v>3732.24</v>
      </c>
      <c r="L15" s="10">
        <v>274526.69</v>
      </c>
      <c r="M15" s="7">
        <v>45314</v>
      </c>
    </row>
    <row r="16" spans="2:13" x14ac:dyDescent="0.3">
      <c r="E16" s="1" t="s">
        <v>70</v>
      </c>
      <c r="F16" s="12" t="s">
        <v>71</v>
      </c>
      <c r="G16" s="1" t="s">
        <v>0</v>
      </c>
      <c r="H16" s="1" t="s">
        <v>73</v>
      </c>
      <c r="I16" s="1" t="s">
        <v>67</v>
      </c>
      <c r="J16" s="10">
        <v>874.91</v>
      </c>
      <c r="K16" s="10">
        <v>874.91</v>
      </c>
      <c r="L16" s="10">
        <v>412084.25</v>
      </c>
      <c r="M16" s="7">
        <v>44703</v>
      </c>
    </row>
    <row r="17" spans="5:13" x14ac:dyDescent="0.3">
      <c r="E17" s="1" t="s">
        <v>70</v>
      </c>
      <c r="F17" s="14" t="s">
        <v>71</v>
      </c>
      <c r="G17" s="1" t="s">
        <v>2</v>
      </c>
      <c r="H17" s="1" t="s">
        <v>91</v>
      </c>
      <c r="I17" s="1" t="s">
        <v>79</v>
      </c>
      <c r="J17" s="10">
        <v>2655.88</v>
      </c>
      <c r="K17" s="10">
        <v>371.82320000000004</v>
      </c>
      <c r="L17" s="10">
        <v>348495.91</v>
      </c>
      <c r="M17" s="7">
        <v>44703</v>
      </c>
    </row>
    <row r="18" spans="5:13" x14ac:dyDescent="0.3">
      <c r="E18" s="1" t="s">
        <v>77</v>
      </c>
      <c r="F18" s="1" t="s">
        <v>77</v>
      </c>
      <c r="G18" s="1" t="s">
        <v>83</v>
      </c>
      <c r="H18" s="1" t="s">
        <v>83</v>
      </c>
      <c r="I18" s="1" t="s">
        <v>67</v>
      </c>
      <c r="J18" s="10">
        <v>3269.89</v>
      </c>
      <c r="K18" s="10">
        <v>3269.89</v>
      </c>
      <c r="L18" s="10">
        <v>275854.65999999997</v>
      </c>
      <c r="M18" s="7">
        <v>44774</v>
      </c>
    </row>
    <row r="19" spans="5:13" x14ac:dyDescent="0.3">
      <c r="E19" s="1" t="s">
        <v>60</v>
      </c>
      <c r="F19" s="1" t="s">
        <v>61</v>
      </c>
      <c r="G19" s="1" t="s">
        <v>83</v>
      </c>
      <c r="H19" s="1" t="s">
        <v>83</v>
      </c>
      <c r="I19" s="1" t="s">
        <v>90</v>
      </c>
      <c r="J19" s="10">
        <v>12553.4</v>
      </c>
      <c r="K19" s="10">
        <v>15942.817999999999</v>
      </c>
      <c r="L19" s="10">
        <v>435540.32</v>
      </c>
      <c r="M19" s="7">
        <v>44703</v>
      </c>
    </row>
    <row r="20" spans="5:13" x14ac:dyDescent="0.3">
      <c r="E20" s="1" t="s">
        <v>77</v>
      </c>
      <c r="F20" s="1" t="s">
        <v>77</v>
      </c>
      <c r="G20" s="1" t="s">
        <v>3</v>
      </c>
      <c r="H20" s="1" t="s">
        <v>78</v>
      </c>
      <c r="I20" s="1" t="s">
        <v>79</v>
      </c>
      <c r="J20" s="10">
        <v>10999.85</v>
      </c>
      <c r="K20" s="10">
        <v>1539.9790000000003</v>
      </c>
      <c r="L20" s="10">
        <v>241947.91</v>
      </c>
      <c r="M20" s="7">
        <v>44774</v>
      </c>
    </row>
    <row r="21" spans="5:13" x14ac:dyDescent="0.3">
      <c r="E21" s="1" t="s">
        <v>77</v>
      </c>
      <c r="F21" s="1" t="s">
        <v>77</v>
      </c>
      <c r="G21" s="1" t="s">
        <v>3</v>
      </c>
      <c r="H21" s="1" t="s">
        <v>83</v>
      </c>
      <c r="I21" s="1" t="s">
        <v>92</v>
      </c>
      <c r="J21" s="10">
        <v>1412.5</v>
      </c>
      <c r="K21" s="10">
        <v>16.95</v>
      </c>
      <c r="L21" s="10">
        <v>367504.4</v>
      </c>
      <c r="M21" s="7">
        <v>45094</v>
      </c>
    </row>
    <row r="22" spans="5:13" x14ac:dyDescent="0.3">
      <c r="E22" s="1" t="s">
        <v>60</v>
      </c>
      <c r="F22" s="1" t="s">
        <v>61</v>
      </c>
      <c r="G22" s="1" t="s">
        <v>5</v>
      </c>
      <c r="H22" s="1" t="s">
        <v>66</v>
      </c>
      <c r="I22" s="1" t="s">
        <v>67</v>
      </c>
      <c r="J22" s="10">
        <v>80002.33</v>
      </c>
      <c r="K22" s="10">
        <v>80002.33</v>
      </c>
      <c r="L22" s="10">
        <v>215320.81</v>
      </c>
      <c r="M22" s="7">
        <v>45187</v>
      </c>
    </row>
    <row r="23" spans="5:13" x14ac:dyDescent="0.3">
      <c r="E23" s="1" t="s">
        <v>60</v>
      </c>
      <c r="F23" s="1" t="s">
        <v>61</v>
      </c>
      <c r="G23" s="1" t="s">
        <v>3</v>
      </c>
      <c r="H23" s="1" t="s">
        <v>78</v>
      </c>
      <c r="I23" s="1" t="s">
        <v>67</v>
      </c>
      <c r="J23" s="10">
        <v>5892.85</v>
      </c>
      <c r="K23" s="10">
        <v>5892.85</v>
      </c>
      <c r="L23" s="10">
        <v>404985.52</v>
      </c>
      <c r="M23" s="7">
        <v>45314</v>
      </c>
    </row>
    <row r="24" spans="5:13" x14ac:dyDescent="0.3">
      <c r="E24" s="1" t="s">
        <v>70</v>
      </c>
      <c r="F24" s="1" t="s">
        <v>71</v>
      </c>
      <c r="G24" s="1" t="s">
        <v>3</v>
      </c>
      <c r="H24" s="1" t="s">
        <v>78</v>
      </c>
      <c r="I24" s="1" t="s">
        <v>79</v>
      </c>
      <c r="J24" s="10">
        <v>4276.34</v>
      </c>
      <c r="K24" s="10">
        <v>598.68760000000009</v>
      </c>
      <c r="L24" s="10">
        <v>53409.85</v>
      </c>
      <c r="M24" s="7">
        <v>45341</v>
      </c>
    </row>
    <row r="25" spans="5:13" x14ac:dyDescent="0.3">
      <c r="E25" s="1" t="s">
        <v>77</v>
      </c>
      <c r="F25" s="13" t="s">
        <v>77</v>
      </c>
      <c r="G25" s="1" t="s">
        <v>0</v>
      </c>
      <c r="H25" s="1" t="s">
        <v>62</v>
      </c>
      <c r="I25" s="1" t="s">
        <v>67</v>
      </c>
      <c r="J25" s="10">
        <v>1514.19</v>
      </c>
      <c r="K25" s="10">
        <v>1514.19</v>
      </c>
      <c r="L25" s="10">
        <v>58401.69</v>
      </c>
      <c r="M25" s="7">
        <v>44756</v>
      </c>
    </row>
    <row r="26" spans="5:13" x14ac:dyDescent="0.3">
      <c r="E26" s="1" t="s">
        <v>70</v>
      </c>
      <c r="F26" s="1" t="s">
        <v>71</v>
      </c>
      <c r="G26" s="1" t="s">
        <v>0</v>
      </c>
      <c r="H26" s="1" t="s">
        <v>72</v>
      </c>
      <c r="I26" s="1" t="s">
        <v>67</v>
      </c>
      <c r="J26" s="10">
        <v>271.05</v>
      </c>
      <c r="K26" s="10">
        <v>271.05</v>
      </c>
      <c r="L26" s="10">
        <v>95088.51</v>
      </c>
      <c r="M26" s="7">
        <v>44774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6A464-0D5C-4FE7-A8B0-197201BF3B90}">
  <dimension ref="A1:M25"/>
  <sheetViews>
    <sheetView showFormulas="1" topLeftCell="G1" workbookViewId="0">
      <selection activeCell="L11" sqref="L11"/>
    </sheetView>
  </sheetViews>
  <sheetFormatPr defaultRowHeight="15.6" x14ac:dyDescent="0.3"/>
  <cols>
    <col min="1" max="1" width="15.5" bestFit="1" customWidth="1"/>
    <col min="2" max="2" width="9.3984375" bestFit="1" customWidth="1"/>
    <col min="4" max="4" width="29.8984375" bestFit="1" customWidth="1"/>
    <col min="7" max="7" width="29.8984375" bestFit="1" customWidth="1"/>
    <col min="12" max="12" width="29.8984375" bestFit="1" customWidth="1"/>
    <col min="13" max="13" width="11.8984375" bestFit="1" customWidth="1"/>
    <col min="14" max="14" width="19.59765625" bestFit="1" customWidth="1"/>
  </cols>
  <sheetData>
    <row r="1" spans="1:13" x14ac:dyDescent="0.3">
      <c r="A1" s="11" t="s">
        <v>102</v>
      </c>
      <c r="B1" s="11" t="s">
        <v>93</v>
      </c>
      <c r="C1" s="11" t="s">
        <v>94</v>
      </c>
      <c r="L1" s="2" t="s">
        <v>169</v>
      </c>
      <c r="M1" s="2" t="s">
        <v>170</v>
      </c>
    </row>
    <row r="2" spans="1:13" x14ac:dyDescent="0.3">
      <c r="A2" s="1" t="s">
        <v>103</v>
      </c>
      <c r="B2" s="1" t="s">
        <v>60</v>
      </c>
      <c r="C2" s="1" t="s">
        <v>61</v>
      </c>
      <c r="D2" t="str">
        <f>_xlfn.CONCAT(A2,",",B2,",",C2)</f>
        <v>Aisha Singh,London,UK</v>
      </c>
      <c r="G2" t="s">
        <v>103</v>
      </c>
      <c r="H2" t="s">
        <v>60</v>
      </c>
      <c r="I2" t="s">
        <v>61</v>
      </c>
      <c r="L2" t="s">
        <v>126</v>
      </c>
      <c r="M2" t="s">
        <v>149</v>
      </c>
    </row>
    <row r="3" spans="1:13" x14ac:dyDescent="0.3">
      <c r="A3" s="1" t="s">
        <v>104</v>
      </c>
      <c r="B3" s="1" t="s">
        <v>64</v>
      </c>
      <c r="C3" s="1" t="s">
        <v>65</v>
      </c>
      <c r="D3" t="str">
        <f t="shared" ref="D3:D25" si="0">_xlfn.CONCAT(A3,",",B3,",",C3)</f>
        <v>David Mueller,Tokyo,Japan</v>
      </c>
      <c r="G3" t="s">
        <v>104</v>
      </c>
      <c r="H3" t="s">
        <v>64</v>
      </c>
      <c r="I3" t="s">
        <v>65</v>
      </c>
      <c r="L3" t="s">
        <v>127</v>
      </c>
      <c r="M3" t="s">
        <v>150</v>
      </c>
    </row>
    <row r="4" spans="1:13" x14ac:dyDescent="0.3">
      <c r="A4" s="1" t="s">
        <v>105</v>
      </c>
      <c r="B4" s="1" t="s">
        <v>68</v>
      </c>
      <c r="C4" s="1" t="s">
        <v>69</v>
      </c>
      <c r="D4" t="str">
        <f t="shared" si="0"/>
        <v>Mohammed Sato,Toronto,Canada</v>
      </c>
      <c r="G4" t="s">
        <v>105</v>
      </c>
      <c r="H4" t="s">
        <v>68</v>
      </c>
      <c r="I4" t="s">
        <v>69</v>
      </c>
      <c r="L4" t="s">
        <v>128</v>
      </c>
      <c r="M4" t="s">
        <v>151</v>
      </c>
    </row>
    <row r="5" spans="1:13" x14ac:dyDescent="0.3">
      <c r="A5" s="1" t="s">
        <v>106</v>
      </c>
      <c r="B5" s="1" t="s">
        <v>70</v>
      </c>
      <c r="C5" s="1" t="s">
        <v>71</v>
      </c>
      <c r="D5" t="str">
        <f t="shared" si="0"/>
        <v>Richard Harris,New York,USA</v>
      </c>
      <c r="G5" t="s">
        <v>106</v>
      </c>
      <c r="H5" t="s">
        <v>70</v>
      </c>
      <c r="I5" t="s">
        <v>71</v>
      </c>
      <c r="L5" t="s">
        <v>129</v>
      </c>
      <c r="M5" t="s">
        <v>152</v>
      </c>
    </row>
    <row r="6" spans="1:13" x14ac:dyDescent="0.3">
      <c r="A6" s="1" t="s">
        <v>107</v>
      </c>
      <c r="B6" s="1" t="s">
        <v>70</v>
      </c>
      <c r="C6" s="1" t="s">
        <v>71</v>
      </c>
      <c r="D6" t="str">
        <f t="shared" si="0"/>
        <v>Susan Miller,New York,USA</v>
      </c>
      <c r="G6" t="s">
        <v>107</v>
      </c>
      <c r="H6" t="s">
        <v>70</v>
      </c>
      <c r="I6" t="s">
        <v>71</v>
      </c>
      <c r="L6" t="s">
        <v>130</v>
      </c>
      <c r="M6" t="s">
        <v>153</v>
      </c>
    </row>
    <row r="7" spans="1:13" x14ac:dyDescent="0.3">
      <c r="A7" s="1" t="s">
        <v>108</v>
      </c>
      <c r="B7" s="1" t="s">
        <v>74</v>
      </c>
      <c r="C7" s="1" t="s">
        <v>75</v>
      </c>
      <c r="D7" t="str">
        <f t="shared" si="0"/>
        <v>Kenji Sato,Sydney,Australia</v>
      </c>
      <c r="G7" t="s">
        <v>108</v>
      </c>
      <c r="H7" t="s">
        <v>74</v>
      </c>
      <c r="I7" t="s">
        <v>75</v>
      </c>
      <c r="L7" t="s">
        <v>131</v>
      </c>
      <c r="M7" t="s">
        <v>154</v>
      </c>
    </row>
    <row r="8" spans="1:13" x14ac:dyDescent="0.3">
      <c r="A8" s="1" t="s">
        <v>109</v>
      </c>
      <c r="B8" s="1" t="s">
        <v>77</v>
      </c>
      <c r="C8" s="1" t="s">
        <v>77</v>
      </c>
      <c r="D8" t="str">
        <f t="shared" si="0"/>
        <v>Joseph Wilson,Singapore,Singapore</v>
      </c>
      <c r="G8" t="s">
        <v>109</v>
      </c>
      <c r="H8" t="s">
        <v>77</v>
      </c>
      <c r="I8" t="s">
        <v>77</v>
      </c>
      <c r="L8" t="s">
        <v>132</v>
      </c>
      <c r="M8" t="s">
        <v>155</v>
      </c>
    </row>
    <row r="9" spans="1:13" x14ac:dyDescent="0.3">
      <c r="A9" s="1" t="s">
        <v>110</v>
      </c>
      <c r="B9" s="1" t="s">
        <v>70</v>
      </c>
      <c r="C9" s="1" t="s">
        <v>71</v>
      </c>
      <c r="D9" t="str">
        <f t="shared" si="0"/>
        <v>Charles Park,New York,USA</v>
      </c>
      <c r="G9" t="s">
        <v>110</v>
      </c>
      <c r="H9" t="s">
        <v>70</v>
      </c>
      <c r="I9" t="s">
        <v>71</v>
      </c>
      <c r="L9" t="s">
        <v>133</v>
      </c>
      <c r="M9" t="s">
        <v>156</v>
      </c>
    </row>
    <row r="10" spans="1:13" x14ac:dyDescent="0.3">
      <c r="A10" s="1" t="s">
        <v>111</v>
      </c>
      <c r="B10" s="1" t="s">
        <v>80</v>
      </c>
      <c r="C10" s="1" t="s">
        <v>81</v>
      </c>
      <c r="D10" t="str">
        <f t="shared" si="0"/>
        <v>Wei White,Frankfurt,Germany</v>
      </c>
      <c r="G10" t="s">
        <v>111</v>
      </c>
      <c r="H10" t="s">
        <v>80</v>
      </c>
      <c r="I10" t="s">
        <v>81</v>
      </c>
      <c r="L10" t="s">
        <v>134</v>
      </c>
      <c r="M10" t="s">
        <v>157</v>
      </c>
    </row>
    <row r="11" spans="1:13" x14ac:dyDescent="0.3">
      <c r="A11" s="1" t="s">
        <v>112</v>
      </c>
      <c r="B11" s="1" t="s">
        <v>68</v>
      </c>
      <c r="C11" s="1" t="s">
        <v>69</v>
      </c>
      <c r="D11" t="str">
        <f t="shared" si="0"/>
        <v>David Wilson,Toronto,Canada</v>
      </c>
      <c r="G11" t="s">
        <v>112</v>
      </c>
      <c r="H11" t="s">
        <v>68</v>
      </c>
      <c r="I11" t="s">
        <v>69</v>
      </c>
      <c r="L11" t="s">
        <v>135</v>
      </c>
      <c r="M11" t="s">
        <v>158</v>
      </c>
    </row>
    <row r="12" spans="1:13" x14ac:dyDescent="0.3">
      <c r="A12" s="1" t="s">
        <v>113</v>
      </c>
      <c r="B12" s="1" t="s">
        <v>68</v>
      </c>
      <c r="C12" s="1" t="s">
        <v>69</v>
      </c>
      <c r="D12" t="str">
        <f t="shared" si="0"/>
        <v>Michael Lopez,Toronto,Canada</v>
      </c>
      <c r="G12" t="s">
        <v>113</v>
      </c>
      <c r="H12" t="s">
        <v>68</v>
      </c>
      <c r="I12" t="s">
        <v>69</v>
      </c>
      <c r="L12" t="s">
        <v>136</v>
      </c>
      <c r="M12" t="s">
        <v>151</v>
      </c>
    </row>
    <row r="13" spans="1:13" x14ac:dyDescent="0.3">
      <c r="A13" s="1" t="s">
        <v>114</v>
      </c>
      <c r="B13" s="1" t="s">
        <v>77</v>
      </c>
      <c r="C13" s="1" t="s">
        <v>77</v>
      </c>
      <c r="D13" t="str">
        <f t="shared" si="0"/>
        <v>Deepa Mueller,Singapore,Singapore</v>
      </c>
      <c r="G13" t="s">
        <v>114</v>
      </c>
      <c r="H13" t="s">
        <v>77</v>
      </c>
      <c r="I13" t="s">
        <v>77</v>
      </c>
      <c r="L13" t="s">
        <v>137</v>
      </c>
      <c r="M13" t="s">
        <v>159</v>
      </c>
    </row>
    <row r="14" spans="1:13" x14ac:dyDescent="0.3">
      <c r="A14" s="1" t="s">
        <v>115</v>
      </c>
      <c r="B14" s="1" t="s">
        <v>80</v>
      </c>
      <c r="C14" s="1" t="s">
        <v>81</v>
      </c>
      <c r="D14" t="str">
        <f t="shared" si="0"/>
        <v>Li Brown,Frankfurt,Germany</v>
      </c>
      <c r="G14" t="s">
        <v>115</v>
      </c>
      <c r="H14" t="s">
        <v>80</v>
      </c>
      <c r="I14" t="s">
        <v>81</v>
      </c>
      <c r="L14" t="s">
        <v>138</v>
      </c>
      <c r="M14" t="s">
        <v>160</v>
      </c>
    </row>
    <row r="15" spans="1:13" x14ac:dyDescent="0.3">
      <c r="A15" s="1" t="s">
        <v>116</v>
      </c>
      <c r="B15" s="1" t="s">
        <v>74</v>
      </c>
      <c r="C15" s="1" t="s">
        <v>75</v>
      </c>
      <c r="D15" t="str">
        <f t="shared" si="0"/>
        <v>Raj Liu,Sydney,Australia</v>
      </c>
      <c r="G15" t="s">
        <v>116</v>
      </c>
      <c r="H15" t="s">
        <v>74</v>
      </c>
      <c r="I15" t="s">
        <v>75</v>
      </c>
      <c r="L15" t="s">
        <v>139</v>
      </c>
      <c r="M15" t="s">
        <v>161</v>
      </c>
    </row>
    <row r="16" spans="1:13" x14ac:dyDescent="0.3">
      <c r="A16" s="1" t="s">
        <v>117</v>
      </c>
      <c r="B16" s="1" t="s">
        <v>80</v>
      </c>
      <c r="C16" s="1" t="s">
        <v>81</v>
      </c>
      <c r="D16" t="str">
        <f t="shared" si="0"/>
        <v>Priya Thomas,Frankfurt,Germany</v>
      </c>
      <c r="G16" t="s">
        <v>117</v>
      </c>
      <c r="H16" t="s">
        <v>80</v>
      </c>
      <c r="I16" t="s">
        <v>81</v>
      </c>
      <c r="L16" t="s">
        <v>140</v>
      </c>
      <c r="M16" t="s">
        <v>162</v>
      </c>
    </row>
    <row r="17" spans="1:13" x14ac:dyDescent="0.3">
      <c r="A17" s="1" t="s">
        <v>118</v>
      </c>
      <c r="B17" s="1" t="s">
        <v>60</v>
      </c>
      <c r="C17" s="1" t="s">
        <v>61</v>
      </c>
      <c r="D17" t="str">
        <f t="shared" si="0"/>
        <v>Anil Gonzalez,London,UK</v>
      </c>
      <c r="G17" t="s">
        <v>118</v>
      </c>
      <c r="H17" t="s">
        <v>60</v>
      </c>
      <c r="I17" t="s">
        <v>61</v>
      </c>
      <c r="L17" t="s">
        <v>141</v>
      </c>
      <c r="M17" t="s">
        <v>149</v>
      </c>
    </row>
    <row r="18" spans="1:13" x14ac:dyDescent="0.3">
      <c r="A18" s="1" t="s">
        <v>119</v>
      </c>
      <c r="B18" s="1" t="s">
        <v>84</v>
      </c>
      <c r="C18" s="1" t="s">
        <v>85</v>
      </c>
      <c r="D18" t="str">
        <f t="shared" si="0"/>
        <v>Charles Rodriguez,Dubai,UAE</v>
      </c>
      <c r="G18" t="s">
        <v>119</v>
      </c>
      <c r="H18" t="s">
        <v>84</v>
      </c>
      <c r="I18" t="s">
        <v>85</v>
      </c>
      <c r="L18" t="s">
        <v>142</v>
      </c>
      <c r="M18" t="s">
        <v>163</v>
      </c>
    </row>
    <row r="19" spans="1:13" x14ac:dyDescent="0.3">
      <c r="A19" s="1" t="s">
        <v>120</v>
      </c>
      <c r="B19" s="1" t="s">
        <v>77</v>
      </c>
      <c r="C19" s="1" t="s">
        <v>77</v>
      </c>
      <c r="D19" t="str">
        <f t="shared" si="0"/>
        <v>Kenji Sharma,Singapore,Singapore</v>
      </c>
      <c r="G19" t="s">
        <v>120</v>
      </c>
      <c r="H19" t="s">
        <v>77</v>
      </c>
      <c r="I19" t="s">
        <v>77</v>
      </c>
      <c r="L19" t="s">
        <v>143</v>
      </c>
      <c r="M19" t="s">
        <v>164</v>
      </c>
    </row>
    <row r="20" spans="1:13" x14ac:dyDescent="0.3">
      <c r="A20" s="1" t="s">
        <v>121</v>
      </c>
      <c r="B20" s="1" t="s">
        <v>86</v>
      </c>
      <c r="C20" s="1" t="s">
        <v>87</v>
      </c>
      <c r="D20" t="str">
        <f t="shared" si="0"/>
        <v>Michael Jones,Mumbai,India</v>
      </c>
      <c r="G20" t="s">
        <v>121</v>
      </c>
      <c r="H20" t="s">
        <v>86</v>
      </c>
      <c r="I20" t="s">
        <v>87</v>
      </c>
      <c r="L20" t="s">
        <v>144</v>
      </c>
      <c r="M20" t="s">
        <v>165</v>
      </c>
    </row>
    <row r="21" spans="1:13" x14ac:dyDescent="0.3">
      <c r="A21" s="1" t="s">
        <v>122</v>
      </c>
      <c r="B21" s="1" t="s">
        <v>88</v>
      </c>
      <c r="C21" s="1" t="s">
        <v>89</v>
      </c>
      <c r="D21" t="str">
        <f t="shared" si="0"/>
        <v>Aisha Ahmed,Hong Kong,China</v>
      </c>
      <c r="G21" t="s">
        <v>122</v>
      </c>
      <c r="H21" t="s">
        <v>88</v>
      </c>
      <c r="I21" t="s">
        <v>89</v>
      </c>
      <c r="L21" t="s">
        <v>145</v>
      </c>
      <c r="M21" t="s">
        <v>166</v>
      </c>
    </row>
    <row r="22" spans="1:13" x14ac:dyDescent="0.3">
      <c r="A22" s="1" t="s">
        <v>123</v>
      </c>
      <c r="B22" s="1" t="s">
        <v>88</v>
      </c>
      <c r="C22" s="1" t="s">
        <v>89</v>
      </c>
      <c r="D22" t="str">
        <f t="shared" si="0"/>
        <v>Li Martin,Hong Kong,China</v>
      </c>
      <c r="G22" t="s">
        <v>123</v>
      </c>
      <c r="H22" t="s">
        <v>88</v>
      </c>
      <c r="I22" t="s">
        <v>89</v>
      </c>
      <c r="L22" t="s">
        <v>146</v>
      </c>
      <c r="M22" t="s">
        <v>167</v>
      </c>
    </row>
    <row r="23" spans="1:13" x14ac:dyDescent="0.3">
      <c r="A23" s="1" t="s">
        <v>107</v>
      </c>
      <c r="B23" s="1" t="s">
        <v>70</v>
      </c>
      <c r="C23" s="1" t="s">
        <v>71</v>
      </c>
      <c r="D23" t="str">
        <f t="shared" si="0"/>
        <v>Susan Miller,New York,USA</v>
      </c>
      <c r="G23" t="s">
        <v>107</v>
      </c>
      <c r="H23" t="s">
        <v>70</v>
      </c>
      <c r="I23" t="s">
        <v>71</v>
      </c>
      <c r="L23" t="s">
        <v>130</v>
      </c>
      <c r="M23" t="s">
        <v>153</v>
      </c>
    </row>
    <row r="24" spans="1:13" x14ac:dyDescent="0.3">
      <c r="A24" s="1" t="s">
        <v>124</v>
      </c>
      <c r="B24" s="1" t="s">
        <v>88</v>
      </c>
      <c r="C24" s="1" t="s">
        <v>89</v>
      </c>
      <c r="D24" t="str">
        <f t="shared" si="0"/>
        <v>Aisha Kumar,Hong Kong,China</v>
      </c>
      <c r="G24" t="s">
        <v>124</v>
      </c>
      <c r="H24" t="s">
        <v>88</v>
      </c>
      <c r="I24" t="s">
        <v>89</v>
      </c>
      <c r="L24" t="s">
        <v>147</v>
      </c>
      <c r="M24" t="s">
        <v>166</v>
      </c>
    </row>
    <row r="25" spans="1:13" x14ac:dyDescent="0.3">
      <c r="A25" s="1" t="s">
        <v>125</v>
      </c>
      <c r="B25" s="1" t="s">
        <v>68</v>
      </c>
      <c r="C25" s="1" t="s">
        <v>69</v>
      </c>
      <c r="D25" t="str">
        <f t="shared" si="0"/>
        <v>Yuki Liu,Toronto,Canada</v>
      </c>
      <c r="G25" t="s">
        <v>125</v>
      </c>
      <c r="H25" t="s">
        <v>68</v>
      </c>
      <c r="I25" t="s">
        <v>69</v>
      </c>
      <c r="L25" t="s">
        <v>148</v>
      </c>
      <c r="M25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990F-8410-4790-9C31-FF68782662D2}">
  <dimension ref="A1:I51"/>
  <sheetViews>
    <sheetView topLeftCell="A15" workbookViewId="0">
      <selection activeCell="A28" sqref="A28"/>
    </sheetView>
  </sheetViews>
  <sheetFormatPr defaultRowHeight="15.6" x14ac:dyDescent="0.3"/>
  <cols>
    <col min="1" max="1" width="9.3984375" bestFit="1" customWidth="1"/>
    <col min="2" max="2" width="8.796875" bestFit="1" customWidth="1"/>
    <col min="3" max="3" width="14.69921875" bestFit="1" customWidth="1"/>
    <col min="4" max="4" width="12.296875" bestFit="1" customWidth="1"/>
    <col min="5" max="5" width="8.69921875" bestFit="1" customWidth="1"/>
    <col min="6" max="6" width="8.8984375" bestFit="1" customWidth="1"/>
    <col min="7" max="7" width="11" bestFit="1" customWidth="1"/>
    <col min="8" max="8" width="9.8984375" bestFit="1" customWidth="1"/>
    <col min="9" max="9" width="14.69921875" bestFit="1" customWidth="1"/>
  </cols>
  <sheetData>
    <row r="1" spans="1:9" x14ac:dyDescent="0.3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</row>
    <row r="2" spans="1:9" ht="19.95" customHeight="1" x14ac:dyDescent="0.3">
      <c r="A2" t="s">
        <v>88</v>
      </c>
      <c r="B2" t="s">
        <v>89</v>
      </c>
      <c r="C2" t="s">
        <v>1</v>
      </c>
      <c r="D2" t="s">
        <v>66</v>
      </c>
      <c r="E2" t="s">
        <v>63</v>
      </c>
      <c r="F2">
        <v>19.21</v>
      </c>
      <c r="G2">
        <v>20.746800000000004</v>
      </c>
      <c r="H2">
        <v>374347.01</v>
      </c>
      <c r="I2">
        <v>44703</v>
      </c>
    </row>
    <row r="3" spans="1:9" ht="19.95" customHeight="1" x14ac:dyDescent="0.3">
      <c r="A3" t="s">
        <v>68</v>
      </c>
      <c r="B3" t="s">
        <v>69</v>
      </c>
      <c r="C3" t="s">
        <v>2</v>
      </c>
      <c r="D3" t="s">
        <v>73</v>
      </c>
      <c r="E3" t="s">
        <v>67</v>
      </c>
      <c r="F3">
        <v>836</v>
      </c>
      <c r="G3">
        <v>836</v>
      </c>
      <c r="H3">
        <v>27106.880000000001</v>
      </c>
      <c r="I3">
        <v>44703</v>
      </c>
    </row>
    <row r="4" spans="1:9" ht="19.95" customHeight="1" x14ac:dyDescent="0.3">
      <c r="A4" t="s">
        <v>80</v>
      </c>
      <c r="B4" t="s">
        <v>81</v>
      </c>
      <c r="C4" t="s">
        <v>2</v>
      </c>
      <c r="D4" t="s">
        <v>73</v>
      </c>
      <c r="E4" t="s">
        <v>63</v>
      </c>
      <c r="F4">
        <v>2124.86</v>
      </c>
      <c r="G4" t="e">
        <v>#N/A</v>
      </c>
      <c r="H4">
        <v>13262.95</v>
      </c>
      <c r="I4">
        <v>44756</v>
      </c>
    </row>
    <row r="5" spans="1:9" ht="19.95" customHeight="1" x14ac:dyDescent="0.3">
      <c r="A5" t="s">
        <v>64</v>
      </c>
      <c r="B5" t="s">
        <v>65</v>
      </c>
      <c r="C5" t="s">
        <v>1</v>
      </c>
      <c r="D5" t="s">
        <v>66</v>
      </c>
      <c r="E5" t="s">
        <v>67</v>
      </c>
      <c r="F5">
        <v>12.41</v>
      </c>
      <c r="G5">
        <v>12.41</v>
      </c>
      <c r="H5">
        <v>109657.63</v>
      </c>
      <c r="I5">
        <v>44774</v>
      </c>
    </row>
    <row r="6" spans="1:9" ht="19.95" customHeight="1" x14ac:dyDescent="0.3">
      <c r="A6" t="s">
        <v>175</v>
      </c>
      <c r="B6" t="s">
        <v>61</v>
      </c>
      <c r="C6" t="s">
        <v>0</v>
      </c>
      <c r="D6" t="s">
        <v>62</v>
      </c>
      <c r="E6" t="s">
        <v>63</v>
      </c>
      <c r="F6">
        <v>955.8</v>
      </c>
      <c r="G6">
        <v>1032.2640000000001</v>
      </c>
      <c r="H6">
        <v>240457.01</v>
      </c>
      <c r="I6">
        <v>45094</v>
      </c>
    </row>
    <row r="7" spans="1:9" ht="19.95" customHeight="1" x14ac:dyDescent="0.3">
      <c r="A7" t="s">
        <v>70</v>
      </c>
      <c r="B7" t="s">
        <v>71</v>
      </c>
      <c r="C7" t="s">
        <v>0</v>
      </c>
      <c r="D7" t="s">
        <v>72</v>
      </c>
      <c r="E7" t="s">
        <v>63</v>
      </c>
      <c r="F7">
        <v>522.01</v>
      </c>
      <c r="G7">
        <v>563.77080000000001</v>
      </c>
      <c r="H7">
        <v>245250.85</v>
      </c>
      <c r="I7">
        <v>45187</v>
      </c>
    </row>
    <row r="8" spans="1:9" ht="19.95" customHeight="1" x14ac:dyDescent="0.3">
      <c r="A8" t="s">
        <v>172</v>
      </c>
      <c r="B8" t="s">
        <v>77</v>
      </c>
      <c r="C8" t="s">
        <v>4</v>
      </c>
      <c r="D8" t="s">
        <v>66</v>
      </c>
      <c r="E8" t="s">
        <v>67</v>
      </c>
      <c r="F8">
        <v>2581.61</v>
      </c>
      <c r="G8">
        <v>2581.61</v>
      </c>
      <c r="H8">
        <v>140472.99</v>
      </c>
      <c r="I8">
        <v>45303</v>
      </c>
    </row>
    <row r="9" spans="1:9" ht="19.95" customHeight="1" x14ac:dyDescent="0.3">
      <c r="A9" t="s">
        <v>86</v>
      </c>
      <c r="B9" t="s">
        <v>87</v>
      </c>
      <c r="C9" t="s">
        <v>2</v>
      </c>
      <c r="D9" t="s">
        <v>66</v>
      </c>
      <c r="E9" t="s">
        <v>67</v>
      </c>
      <c r="F9">
        <v>3732.24</v>
      </c>
      <c r="G9">
        <v>3732.24</v>
      </c>
      <c r="H9">
        <v>274526.69</v>
      </c>
      <c r="I9">
        <v>45314</v>
      </c>
    </row>
    <row r="10" spans="1:9" ht="19.95" customHeight="1" x14ac:dyDescent="0.3">
      <c r="A10" t="s">
        <v>68</v>
      </c>
      <c r="B10" t="s">
        <v>69</v>
      </c>
      <c r="C10" t="s">
        <v>0</v>
      </c>
      <c r="D10" t="s">
        <v>62</v>
      </c>
      <c r="E10" t="s">
        <v>67</v>
      </c>
      <c r="F10">
        <v>1842.59</v>
      </c>
      <c r="G10">
        <v>1842.59</v>
      </c>
      <c r="H10">
        <v>438961.01</v>
      </c>
      <c r="I10">
        <v>45341</v>
      </c>
    </row>
    <row r="11" spans="1:9" ht="19.95" customHeight="1" x14ac:dyDescent="0.3">
      <c r="A11" t="s">
        <v>84</v>
      </c>
      <c r="B11" t="s">
        <v>85</v>
      </c>
      <c r="C11" t="s">
        <v>2</v>
      </c>
      <c r="D11" t="s">
        <v>66</v>
      </c>
      <c r="E11" t="s">
        <v>67</v>
      </c>
      <c r="F11">
        <v>911.22</v>
      </c>
      <c r="G11">
        <v>911.22</v>
      </c>
      <c r="H11">
        <v>361313.83</v>
      </c>
      <c r="I11">
        <v>45381</v>
      </c>
    </row>
    <row r="12" spans="1:9" ht="19.95" customHeight="1" x14ac:dyDescent="0.3">
      <c r="A12" t="s">
        <v>70</v>
      </c>
      <c r="B12" t="s">
        <v>71</v>
      </c>
      <c r="C12" t="s">
        <v>0</v>
      </c>
      <c r="D12" t="s">
        <v>73</v>
      </c>
      <c r="E12" t="s">
        <v>67</v>
      </c>
      <c r="F12">
        <v>874.91</v>
      </c>
      <c r="G12">
        <v>874.91</v>
      </c>
      <c r="H12">
        <v>412084.25</v>
      </c>
      <c r="I12">
        <v>44703</v>
      </c>
    </row>
    <row r="13" spans="1:9" ht="19.95" customHeight="1" x14ac:dyDescent="0.3">
      <c r="A13" t="s">
        <v>173</v>
      </c>
      <c r="B13" t="s">
        <v>71</v>
      </c>
      <c r="C13" t="s">
        <v>2</v>
      </c>
      <c r="D13" t="s">
        <v>91</v>
      </c>
      <c r="E13" t="s">
        <v>79</v>
      </c>
      <c r="F13">
        <v>2655.88</v>
      </c>
      <c r="G13">
        <v>371.82320000000004</v>
      </c>
      <c r="H13">
        <v>348495.91</v>
      </c>
      <c r="I13">
        <v>44703</v>
      </c>
    </row>
    <row r="14" spans="1:9" ht="19.95" customHeight="1" x14ac:dyDescent="0.3">
      <c r="A14" t="s">
        <v>80</v>
      </c>
      <c r="B14" t="s">
        <v>81</v>
      </c>
      <c r="C14" t="s">
        <v>2</v>
      </c>
      <c r="D14" t="s">
        <v>82</v>
      </c>
      <c r="E14" t="s">
        <v>67</v>
      </c>
      <c r="F14">
        <v>3986.97</v>
      </c>
      <c r="G14">
        <v>3986.97</v>
      </c>
      <c r="H14">
        <v>365856.11</v>
      </c>
      <c r="I14">
        <v>44756</v>
      </c>
    </row>
    <row r="15" spans="1:9" ht="19.95" customHeight="1" x14ac:dyDescent="0.3">
      <c r="A15" t="s">
        <v>77</v>
      </c>
      <c r="B15" t="s">
        <v>77</v>
      </c>
      <c r="C15" t="s">
        <v>83</v>
      </c>
      <c r="D15" t="s">
        <v>83</v>
      </c>
      <c r="E15" t="s">
        <v>67</v>
      </c>
      <c r="F15">
        <v>3269.89</v>
      </c>
      <c r="G15" t="e">
        <v>#N/A</v>
      </c>
      <c r="H15">
        <v>275854.65999999997</v>
      </c>
      <c r="I15">
        <v>44774</v>
      </c>
    </row>
    <row r="16" spans="1:9" ht="19.95" customHeight="1" x14ac:dyDescent="0.3">
      <c r="A16" t="s">
        <v>74</v>
      </c>
      <c r="B16" t="s">
        <v>75</v>
      </c>
      <c r="C16" t="s">
        <v>2</v>
      </c>
      <c r="D16" t="s">
        <v>76</v>
      </c>
      <c r="E16" t="s">
        <v>67</v>
      </c>
      <c r="F16">
        <v>4131.9399999999996</v>
      </c>
      <c r="G16">
        <v>4131.9399999999996</v>
      </c>
      <c r="H16">
        <v>311006.01</v>
      </c>
      <c r="I16">
        <v>45094</v>
      </c>
    </row>
    <row r="17" spans="1:9" ht="19.95" customHeight="1" x14ac:dyDescent="0.3">
      <c r="A17" t="s">
        <v>80</v>
      </c>
      <c r="B17" t="s">
        <v>81</v>
      </c>
      <c r="C17" t="s">
        <v>4</v>
      </c>
      <c r="D17" t="s">
        <v>66</v>
      </c>
      <c r="E17" t="s">
        <v>67</v>
      </c>
      <c r="F17">
        <v>1597.27</v>
      </c>
      <c r="G17">
        <v>1597.27</v>
      </c>
      <c r="H17">
        <v>47149.37</v>
      </c>
      <c r="I17">
        <v>45187</v>
      </c>
    </row>
    <row r="18" spans="1:9" ht="19.95" customHeight="1" x14ac:dyDescent="0.3">
      <c r="A18" t="s">
        <v>68</v>
      </c>
      <c r="B18" t="s">
        <v>69</v>
      </c>
      <c r="C18" t="s">
        <v>1</v>
      </c>
      <c r="D18" t="s">
        <v>66</v>
      </c>
      <c r="E18" t="s">
        <v>67</v>
      </c>
      <c r="F18">
        <v>8.57</v>
      </c>
      <c r="G18">
        <v>8.57</v>
      </c>
      <c r="H18">
        <v>332420.21000000002</v>
      </c>
      <c r="I18">
        <v>45303</v>
      </c>
    </row>
    <row r="19" spans="1:9" ht="19.95" customHeight="1" x14ac:dyDescent="0.3">
      <c r="A19" t="s">
        <v>80</v>
      </c>
      <c r="B19" t="s">
        <v>81</v>
      </c>
      <c r="C19" t="s">
        <v>4</v>
      </c>
      <c r="D19" t="s">
        <v>66</v>
      </c>
      <c r="E19" t="s">
        <v>67</v>
      </c>
      <c r="F19">
        <v>1113.46</v>
      </c>
      <c r="G19">
        <v>1113.46</v>
      </c>
      <c r="H19">
        <v>398456.14</v>
      </c>
      <c r="I19">
        <v>45314</v>
      </c>
    </row>
    <row r="20" spans="1:9" ht="19.95" customHeight="1" x14ac:dyDescent="0.3">
      <c r="A20" t="s">
        <v>68</v>
      </c>
      <c r="B20" t="s">
        <v>69</v>
      </c>
      <c r="C20" t="s">
        <v>3</v>
      </c>
      <c r="D20" t="s">
        <v>83</v>
      </c>
      <c r="E20" t="s">
        <v>63</v>
      </c>
      <c r="F20">
        <v>10956.22</v>
      </c>
      <c r="G20">
        <v>11832.7176</v>
      </c>
      <c r="H20">
        <v>355941.18</v>
      </c>
      <c r="I20">
        <v>45341</v>
      </c>
    </row>
    <row r="21" spans="1:9" ht="19.95" customHeight="1" x14ac:dyDescent="0.3">
      <c r="A21" t="s">
        <v>68</v>
      </c>
      <c r="B21" t="s">
        <v>69</v>
      </c>
      <c r="C21" t="s">
        <v>1</v>
      </c>
      <c r="D21" t="s">
        <v>66</v>
      </c>
      <c r="E21" t="s">
        <v>67</v>
      </c>
      <c r="F21">
        <v>24.12</v>
      </c>
      <c r="G21">
        <v>24.12</v>
      </c>
      <c r="H21">
        <v>188024.67</v>
      </c>
      <c r="I21">
        <v>45381</v>
      </c>
    </row>
    <row r="22" spans="1:9" ht="19.95" customHeight="1" x14ac:dyDescent="0.3">
      <c r="A22" t="s">
        <v>174</v>
      </c>
      <c r="B22" t="s">
        <v>61</v>
      </c>
      <c r="C22" t="s">
        <v>83</v>
      </c>
      <c r="D22" t="s">
        <v>83</v>
      </c>
      <c r="E22" t="s">
        <v>90</v>
      </c>
      <c r="F22">
        <v>12553.4</v>
      </c>
      <c r="G22" t="e">
        <v>#N/A</v>
      </c>
      <c r="H22">
        <v>435540.32</v>
      </c>
      <c r="I22">
        <v>44703</v>
      </c>
    </row>
    <row r="23" spans="1:9" ht="19.95" customHeight="1" x14ac:dyDescent="0.3">
      <c r="A23" t="s">
        <v>88</v>
      </c>
      <c r="B23" t="s">
        <v>89</v>
      </c>
      <c r="C23" t="s">
        <v>0</v>
      </c>
      <c r="D23" t="s">
        <v>72</v>
      </c>
      <c r="E23" t="s">
        <v>90</v>
      </c>
      <c r="F23">
        <v>385.87</v>
      </c>
      <c r="G23">
        <v>490.05490000000003</v>
      </c>
      <c r="H23">
        <v>471644.58</v>
      </c>
      <c r="I23">
        <v>44756</v>
      </c>
    </row>
    <row r="24" spans="1:9" ht="19.95" customHeight="1" x14ac:dyDescent="0.3">
      <c r="A24" t="s">
        <v>77</v>
      </c>
      <c r="B24" t="s">
        <v>77</v>
      </c>
      <c r="C24" t="s">
        <v>3</v>
      </c>
      <c r="D24" t="s">
        <v>78</v>
      </c>
      <c r="E24" t="s">
        <v>79</v>
      </c>
      <c r="F24">
        <v>10999.85</v>
      </c>
      <c r="G24">
        <v>1539.9790000000003</v>
      </c>
      <c r="H24">
        <v>241947.91</v>
      </c>
      <c r="I24">
        <v>44774</v>
      </c>
    </row>
    <row r="25" spans="1:9" ht="19.95" customHeight="1" x14ac:dyDescent="0.3">
      <c r="A25" t="s">
        <v>77</v>
      </c>
      <c r="B25" t="s">
        <v>77</v>
      </c>
      <c r="C25" t="s">
        <v>3</v>
      </c>
      <c r="D25" t="s">
        <v>83</v>
      </c>
      <c r="E25" t="s">
        <v>92</v>
      </c>
      <c r="F25">
        <v>1412.5</v>
      </c>
      <c r="G25">
        <v>16.95</v>
      </c>
      <c r="H25">
        <v>367504.4</v>
      </c>
      <c r="I25">
        <v>45094</v>
      </c>
    </row>
    <row r="26" spans="1:9" ht="19.95" customHeight="1" x14ac:dyDescent="0.3">
      <c r="A26" t="s">
        <v>176</v>
      </c>
      <c r="B26" t="s">
        <v>61</v>
      </c>
      <c r="C26" t="s">
        <v>5</v>
      </c>
      <c r="D26" t="s">
        <v>66</v>
      </c>
      <c r="E26" t="s">
        <v>67</v>
      </c>
      <c r="F26">
        <v>80002.33</v>
      </c>
      <c r="G26">
        <v>80002.33</v>
      </c>
      <c r="H26">
        <v>215320.81</v>
      </c>
      <c r="I26">
        <v>45187</v>
      </c>
    </row>
    <row r="27" spans="1:9" ht="19.95" customHeight="1" x14ac:dyDescent="0.3">
      <c r="A27" t="s">
        <v>88</v>
      </c>
      <c r="B27" t="s">
        <v>89</v>
      </c>
      <c r="C27" t="s">
        <v>3</v>
      </c>
      <c r="D27" t="s">
        <v>78</v>
      </c>
      <c r="E27" t="s">
        <v>67</v>
      </c>
      <c r="F27">
        <v>3931.9</v>
      </c>
      <c r="G27">
        <v>3931.9</v>
      </c>
      <c r="H27">
        <v>133616.28</v>
      </c>
      <c r="I27">
        <v>45303</v>
      </c>
    </row>
    <row r="28" spans="1:9" ht="19.95" customHeight="1" x14ac:dyDescent="0.3">
      <c r="A28" t="s">
        <v>176</v>
      </c>
      <c r="B28" t="s">
        <v>61</v>
      </c>
      <c r="C28" t="s">
        <v>3</v>
      </c>
      <c r="D28" t="s">
        <v>78</v>
      </c>
      <c r="E28" t="s">
        <v>67</v>
      </c>
      <c r="F28">
        <v>5892.85</v>
      </c>
      <c r="G28">
        <v>5892.85</v>
      </c>
      <c r="H28">
        <v>404985.52</v>
      </c>
      <c r="I28">
        <v>45314</v>
      </c>
    </row>
    <row r="29" spans="1:9" ht="19.95" customHeight="1" x14ac:dyDescent="0.3">
      <c r="A29" t="s">
        <v>70</v>
      </c>
      <c r="B29" t="s">
        <v>71</v>
      </c>
      <c r="C29" t="s">
        <v>3</v>
      </c>
      <c r="D29" t="s">
        <v>78</v>
      </c>
      <c r="E29" t="s">
        <v>79</v>
      </c>
      <c r="F29">
        <v>4276.34</v>
      </c>
      <c r="G29">
        <v>598.68760000000009</v>
      </c>
      <c r="H29">
        <v>53409.85</v>
      </c>
      <c r="I29">
        <v>45341</v>
      </c>
    </row>
    <row r="30" spans="1:9" ht="19.95" customHeight="1" x14ac:dyDescent="0.3">
      <c r="A30" t="s">
        <v>74</v>
      </c>
      <c r="B30" t="s">
        <v>75</v>
      </c>
      <c r="C30" t="s">
        <v>3</v>
      </c>
      <c r="D30" t="s">
        <v>83</v>
      </c>
      <c r="E30" t="s">
        <v>79</v>
      </c>
      <c r="F30">
        <v>6320.1</v>
      </c>
      <c r="G30">
        <v>884.81400000000019</v>
      </c>
      <c r="H30">
        <v>469777.67</v>
      </c>
      <c r="I30">
        <v>45381</v>
      </c>
    </row>
    <row r="31" spans="1:9" ht="19.95" customHeight="1" x14ac:dyDescent="0.3">
      <c r="A31" t="s">
        <v>88</v>
      </c>
      <c r="B31" t="s">
        <v>89</v>
      </c>
      <c r="C31" t="s">
        <v>1</v>
      </c>
      <c r="D31" t="s">
        <v>66</v>
      </c>
      <c r="E31" t="s">
        <v>63</v>
      </c>
      <c r="F31">
        <v>46.18</v>
      </c>
      <c r="G31">
        <v>49.874400000000001</v>
      </c>
      <c r="H31">
        <v>87861.95</v>
      </c>
      <c r="I31">
        <v>44703</v>
      </c>
    </row>
    <row r="32" spans="1:9" ht="19.95" customHeight="1" x14ac:dyDescent="0.3">
      <c r="A32" t="s">
        <v>88</v>
      </c>
      <c r="B32" t="s">
        <v>89</v>
      </c>
      <c r="C32" t="s">
        <v>4</v>
      </c>
      <c r="D32" t="s">
        <v>66</v>
      </c>
      <c r="E32" t="s">
        <v>79</v>
      </c>
      <c r="F32">
        <v>1965.55</v>
      </c>
      <c r="G32">
        <v>275.17700000000002</v>
      </c>
      <c r="H32">
        <v>3443.66</v>
      </c>
      <c r="I32">
        <v>44703</v>
      </c>
    </row>
    <row r="33" spans="1:9" ht="19.95" customHeight="1" x14ac:dyDescent="0.3">
      <c r="A33" t="s">
        <v>77</v>
      </c>
      <c r="B33" t="s">
        <v>77</v>
      </c>
      <c r="C33" t="s">
        <v>0</v>
      </c>
      <c r="D33" t="s">
        <v>62</v>
      </c>
      <c r="E33" t="s">
        <v>67</v>
      </c>
      <c r="F33">
        <v>1514.19</v>
      </c>
      <c r="G33">
        <v>1514.19</v>
      </c>
      <c r="H33">
        <v>58401.69</v>
      </c>
      <c r="I33">
        <v>44756</v>
      </c>
    </row>
    <row r="34" spans="1:9" ht="19.95" customHeight="1" x14ac:dyDescent="0.3">
      <c r="A34" t="s">
        <v>70</v>
      </c>
      <c r="B34" t="s">
        <v>71</v>
      </c>
      <c r="C34" t="s">
        <v>0</v>
      </c>
      <c r="D34" t="s">
        <v>72</v>
      </c>
      <c r="E34" t="s">
        <v>67</v>
      </c>
      <c r="F34">
        <v>271.05</v>
      </c>
      <c r="G34" t="e">
        <v>#N/A</v>
      </c>
      <c r="H34">
        <v>95088.51</v>
      </c>
    </row>
    <row r="35" spans="1:9" ht="19.95" customHeight="1" x14ac:dyDescent="0.3">
      <c r="A35" s="22"/>
      <c r="B35" s="23"/>
      <c r="C35" s="23"/>
      <c r="D35" s="23"/>
      <c r="E35" s="23"/>
      <c r="F35" s="23"/>
      <c r="G35" s="23"/>
      <c r="H35" s="23"/>
      <c r="I35" s="24"/>
    </row>
    <row r="36" spans="1:9" ht="19.95" customHeight="1" x14ac:dyDescent="0.3">
      <c r="A36" s="19"/>
      <c r="B36" s="20"/>
      <c r="C36" s="20"/>
      <c r="D36" s="20"/>
      <c r="E36" s="20"/>
      <c r="F36" s="20"/>
      <c r="G36" s="20"/>
      <c r="H36" s="20"/>
      <c r="I36" s="21"/>
    </row>
    <row r="37" spans="1:9" ht="19.95" customHeight="1" x14ac:dyDescent="0.3">
      <c r="A37" s="22"/>
      <c r="B37" s="23"/>
      <c r="C37" s="23"/>
      <c r="D37" s="23"/>
      <c r="E37" s="23"/>
      <c r="F37" s="23"/>
      <c r="G37" s="23"/>
      <c r="H37" s="23"/>
      <c r="I37" s="24"/>
    </row>
    <row r="38" spans="1:9" ht="19.95" customHeight="1" x14ac:dyDescent="0.3">
      <c r="A38" s="19"/>
      <c r="B38" s="20"/>
      <c r="C38" s="20"/>
      <c r="D38" s="20"/>
      <c r="E38" s="20"/>
      <c r="F38" s="20"/>
      <c r="G38" s="20"/>
      <c r="H38" s="20"/>
      <c r="I38" s="21"/>
    </row>
    <row r="39" spans="1:9" ht="19.95" customHeight="1" x14ac:dyDescent="0.3">
      <c r="A39" s="22"/>
      <c r="B39" s="23"/>
      <c r="C39" s="23"/>
      <c r="D39" s="23"/>
      <c r="E39" s="23"/>
      <c r="F39" s="23"/>
      <c r="G39" s="23"/>
      <c r="H39" s="23"/>
      <c r="I39" s="24"/>
    </row>
    <row r="40" spans="1:9" ht="19.95" customHeight="1" x14ac:dyDescent="0.3">
      <c r="A40" s="19"/>
      <c r="B40" s="20"/>
      <c r="C40" s="20"/>
      <c r="D40" s="20"/>
      <c r="E40" s="20"/>
      <c r="F40" s="20"/>
      <c r="G40" s="20"/>
      <c r="H40" s="20"/>
      <c r="I40" s="21"/>
    </row>
    <row r="41" spans="1:9" ht="19.95" customHeight="1" x14ac:dyDescent="0.3">
      <c r="A41" s="22"/>
      <c r="B41" s="23"/>
      <c r="C41" s="23"/>
      <c r="D41" s="23"/>
      <c r="E41" s="23"/>
      <c r="F41" s="23"/>
      <c r="G41" s="23"/>
      <c r="H41" s="23"/>
      <c r="I41" s="24"/>
    </row>
    <row r="42" spans="1:9" ht="19.95" customHeight="1" x14ac:dyDescent="0.3">
      <c r="A42" s="19"/>
      <c r="B42" s="20"/>
      <c r="C42" s="20"/>
      <c r="D42" s="20"/>
      <c r="E42" s="20"/>
      <c r="F42" s="20"/>
      <c r="G42" s="20"/>
      <c r="H42" s="20"/>
      <c r="I42" s="21"/>
    </row>
    <row r="43" spans="1:9" ht="19.95" customHeight="1" x14ac:dyDescent="0.3">
      <c r="A43" s="22"/>
      <c r="B43" s="23"/>
      <c r="C43" s="23"/>
      <c r="D43" s="23"/>
      <c r="E43" s="23"/>
      <c r="F43" s="23"/>
      <c r="G43" s="23"/>
      <c r="H43" s="23"/>
      <c r="I43" s="24"/>
    </row>
    <row r="44" spans="1:9" ht="19.95" customHeight="1" x14ac:dyDescent="0.3">
      <c r="A44" s="19"/>
      <c r="B44" s="20"/>
      <c r="C44" s="20"/>
      <c r="D44" s="20"/>
      <c r="E44" s="20"/>
      <c r="F44" s="20"/>
      <c r="G44" s="20"/>
      <c r="H44" s="20"/>
      <c r="I44" s="21"/>
    </row>
    <row r="45" spans="1:9" ht="19.95" customHeight="1" x14ac:dyDescent="0.3">
      <c r="A45" s="22"/>
      <c r="B45" s="23"/>
      <c r="C45" s="23"/>
      <c r="D45" s="23"/>
      <c r="E45" s="23"/>
      <c r="F45" s="23"/>
      <c r="G45" s="23"/>
      <c r="H45" s="23"/>
      <c r="I45" s="24"/>
    </row>
    <row r="46" spans="1:9" ht="19.95" customHeight="1" x14ac:dyDescent="0.3">
      <c r="A46" s="19"/>
      <c r="B46" s="20"/>
      <c r="C46" s="20"/>
      <c r="D46" s="20"/>
      <c r="E46" s="20"/>
      <c r="F46" s="20"/>
      <c r="G46" s="20"/>
      <c r="H46" s="20"/>
      <c r="I46" s="21"/>
    </row>
    <row r="47" spans="1:9" ht="19.95" customHeight="1" x14ac:dyDescent="0.3">
      <c r="A47" s="22"/>
      <c r="B47" s="23"/>
      <c r="C47" s="23"/>
      <c r="D47" s="23"/>
      <c r="E47" s="23"/>
      <c r="F47" s="23"/>
      <c r="G47" s="23"/>
      <c r="H47" s="23"/>
      <c r="I47" s="24"/>
    </row>
    <row r="48" spans="1:9" ht="19.95" customHeight="1" x14ac:dyDescent="0.3">
      <c r="A48" s="19"/>
      <c r="B48" s="20"/>
      <c r="C48" s="20"/>
      <c r="D48" s="20"/>
      <c r="E48" s="20"/>
      <c r="F48" s="20"/>
      <c r="G48" s="20"/>
      <c r="H48" s="20"/>
      <c r="I48" s="21"/>
    </row>
    <row r="49" spans="1:9" ht="19.95" customHeight="1" x14ac:dyDescent="0.3">
      <c r="A49" s="22"/>
      <c r="B49" s="23"/>
      <c r="C49" s="23"/>
      <c r="D49" s="23"/>
      <c r="E49" s="23"/>
      <c r="F49" s="23"/>
      <c r="G49" s="23"/>
      <c r="H49" s="23"/>
      <c r="I49" s="24"/>
    </row>
    <row r="50" spans="1:9" ht="19.95" customHeight="1" thickBot="1" x14ac:dyDescent="0.35">
      <c r="A50" s="19"/>
      <c r="B50" s="20"/>
      <c r="C50" s="20"/>
      <c r="D50" s="20"/>
      <c r="E50" s="20"/>
      <c r="F50" s="20"/>
      <c r="G50" s="20"/>
      <c r="H50" s="20"/>
      <c r="I50" s="21"/>
    </row>
    <row r="51" spans="1:9" ht="16.2" thickTop="1" x14ac:dyDescent="0.3">
      <c r="A51" s="18" t="s">
        <v>171</v>
      </c>
      <c r="B51" s="16"/>
      <c r="C51" s="16"/>
      <c r="D51" s="16"/>
      <c r="E51" s="16"/>
      <c r="F51" s="16"/>
      <c r="G51" s="16"/>
      <c r="H51" s="16"/>
      <c r="I51" s="17">
        <f>SUBTOTAL(109,Sheet5!$I$2:$I$50)</f>
        <v>1441127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Sheet3!Criteria</vt:lpstr>
      <vt:lpstr>Sheet3!Extract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Aamit makode</dc:creator>
  <cp:lastModifiedBy>Aamit makode</cp:lastModifiedBy>
  <dcterms:created xsi:type="dcterms:W3CDTF">2026-05-14T03:47:15Z</dcterms:created>
  <dcterms:modified xsi:type="dcterms:W3CDTF">2026-05-14T04:56:56Z</dcterms:modified>
</cp:coreProperties>
</file>